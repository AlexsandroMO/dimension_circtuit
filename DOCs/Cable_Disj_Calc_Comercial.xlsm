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W:\DIN\GD\INT\02_INTERNO\alexsandro.oliveira\2020\"/>
    </mc:Choice>
  </mc:AlternateContent>
  <bookViews>
    <workbookView xWindow="0" yWindow="0" windowWidth="24825" windowHeight="7545"/>
  </bookViews>
  <sheets>
    <sheet name="Início" sheetId="10" r:id="rId1"/>
    <sheet name="Comercio" sheetId="11" r:id="rId2"/>
    <sheet name="Dados" sheetId="8" r:id="rId3"/>
    <sheet name="Potência De Aparelhos" sheetId="6" r:id="rId4"/>
  </sheets>
  <definedNames>
    <definedName name="_xlnm.Print_Area" localSheetId="1">Comercio!$A$1:$S$6</definedName>
  </definedNames>
  <calcPr calcId="162913"/>
</workbook>
</file>

<file path=xl/calcChain.xml><?xml version="1.0" encoding="utf-8"?>
<calcChain xmlns="http://schemas.openxmlformats.org/spreadsheetml/2006/main">
  <c r="Q6" i="11" l="1"/>
  <c r="F6" i="11"/>
  <c r="S4" i="11"/>
  <c r="H4" i="11"/>
  <c r="N4" i="11" s="1"/>
  <c r="G4" i="11"/>
  <c r="Q4" i="11" l="1"/>
  <c r="K4" i="11"/>
  <c r="M4" i="11" s="1"/>
  <c r="T3" i="11"/>
  <c r="H12" i="8" l="1"/>
  <c r="H11" i="8"/>
  <c r="H10" i="8"/>
  <c r="H9" i="8"/>
  <c r="H8" i="8"/>
  <c r="H7" i="8"/>
  <c r="H6" i="8"/>
  <c r="H5" i="8"/>
  <c r="H4" i="8"/>
</calcChain>
</file>

<file path=xl/sharedStrings.xml><?xml version="1.0" encoding="utf-8"?>
<sst xmlns="http://schemas.openxmlformats.org/spreadsheetml/2006/main" count="114" uniqueCount="101">
  <si>
    <t>fator de potencia de de iluminação "= 1"</t>
  </si>
  <si>
    <t>TENSÃO
(VA)</t>
  </si>
  <si>
    <t>POTÊNCIA</t>
  </si>
  <si>
    <t>Total
(VA)</t>
  </si>
  <si>
    <t>Corrente 
(A)</t>
  </si>
  <si>
    <t>Seção dos 
Condutores mm²</t>
  </si>
  <si>
    <t>Tipo</t>
  </si>
  <si>
    <t>Nº de
Polos</t>
  </si>
  <si>
    <t>Corrente
Nominal</t>
  </si>
  <si>
    <t>Iluminação</t>
  </si>
  <si>
    <t>Chuveiro</t>
  </si>
  <si>
    <t>Quant.</t>
  </si>
  <si>
    <t>Potência (VA)</t>
  </si>
  <si>
    <t>Local</t>
  </si>
  <si>
    <t>Capacidade de condução de corrente (A)</t>
  </si>
  <si>
    <t>Seção (mm²)</t>
  </si>
  <si>
    <t>Padrão Mini DJ Schneider</t>
  </si>
  <si>
    <t>Capacidade (A)</t>
  </si>
  <si>
    <t>Verificação DJ</t>
  </si>
  <si>
    <t>Fator de Demanda</t>
  </si>
  <si>
    <t>Demanda</t>
  </si>
  <si>
    <t>PROTEÇÃO</t>
  </si>
  <si>
    <t>Tabela de Referência Para
Dimencionamento Para Ar condicionado</t>
  </si>
  <si>
    <t>Capacidade</t>
  </si>
  <si>
    <t>Tipo Splite</t>
  </si>
  <si>
    <t>Tipo Janela</t>
  </si>
  <si>
    <t>BTU/h</t>
  </si>
  <si>
    <t>Watt(W)</t>
  </si>
  <si>
    <t>-</t>
  </si>
  <si>
    <t>TUG's</t>
  </si>
  <si>
    <t>Ar Condicionado</t>
  </si>
  <si>
    <t>OBS; 
Tomadas De Uso Geral 100VA (TUGs)
Uso Especifico 400VA (TUEs)
Demanda Para Iluminação é "0".</t>
  </si>
  <si>
    <t>Aparelho</t>
  </si>
  <si>
    <t>Potência Aproximada (WATTS)</t>
  </si>
  <si>
    <t>Consumidores » Tabela de Consumo dos Aparelhos
(Potência Elétrica Média (WATTS) de Aparelhos Elétricos)</t>
  </si>
  <si>
    <t>Tabela 36 NBR-5410</t>
  </si>
  <si>
    <t>Queda de tensão (FP=0,92)
(V/A.km)</t>
  </si>
  <si>
    <t>(Catálogo Prysmian Afumex 450/750V)</t>
  </si>
  <si>
    <t>Comprimento do Circuito (m)</t>
  </si>
  <si>
    <t>Queda de tensão permitida (%)</t>
  </si>
  <si>
    <t>Queda de tensão circuito (%)</t>
  </si>
  <si>
    <t xml:space="preserve"> </t>
  </si>
  <si>
    <t>1 HP = 736W</t>
  </si>
  <si>
    <t>1 BTU = 0,293</t>
  </si>
  <si>
    <t>Motores</t>
  </si>
  <si>
    <t xml:space="preserve">Aquecedor de água por acumulação até 80 L </t>
  </si>
  <si>
    <t xml:space="preserve">Conjunto de som </t>
  </si>
  <si>
    <t xml:space="preserve">Aquecedor de água por acumulação de 100 a 150 L </t>
  </si>
  <si>
    <t xml:space="preserve">Ebulidor </t>
  </si>
  <si>
    <t xml:space="preserve">Aquecedor de água por acumulação de 200 a 400 L </t>
  </si>
  <si>
    <t xml:space="preserve">Enceradeira residencial </t>
  </si>
  <si>
    <t xml:space="preserve">Aquecedor de água por tampa </t>
  </si>
  <si>
    <t xml:space="preserve">Espremedor de frutas </t>
  </si>
  <si>
    <t xml:space="preserve">Aquecedor de ambiente </t>
  </si>
  <si>
    <t xml:space="preserve">Exaustor </t>
  </si>
  <si>
    <t xml:space="preserve">Aspirador de pó residencial </t>
  </si>
  <si>
    <t xml:space="preserve">Ferro elétrico automático de passar roupa </t>
  </si>
  <si>
    <t xml:space="preserve">Assadeira grande </t>
  </si>
  <si>
    <t xml:space="preserve">Ferro elétrico simples de passar roupa </t>
  </si>
  <si>
    <t xml:space="preserve">Assadeira pequena </t>
  </si>
  <si>
    <t xml:space="preserve">Fogão comum com acendedor </t>
  </si>
  <si>
    <t xml:space="preserve">Banheira de hidromassagem </t>
  </si>
  <si>
    <t xml:space="preserve">Fogão elétrico de 4 bocas potência por cada queimador </t>
  </si>
  <si>
    <t xml:space="preserve">Batedeira de bolo </t>
  </si>
  <si>
    <t xml:space="preserve">Fogão elétrico de 6 bocas potência por cada queimador médio </t>
  </si>
  <si>
    <t xml:space="preserve">Bomba d´água 1/4 CV monofásica </t>
  </si>
  <si>
    <t xml:space="preserve">Fogão elétrico de 6 bocas potência por cada queimador grande </t>
  </si>
  <si>
    <t xml:space="preserve">Bomba d”água 1/3 CV monofásica </t>
  </si>
  <si>
    <t xml:space="preserve">Forno de microondas </t>
  </si>
  <si>
    <t xml:space="preserve">Bomba d”água 1/2 CV trifásica </t>
  </si>
  <si>
    <t xml:space="preserve">Forno elétrico de embutir </t>
  </si>
  <si>
    <t xml:space="preserve">Bomba d”água 3/4 CV trifásica </t>
  </si>
  <si>
    <t xml:space="preserve">Freezer vertical Pequeno </t>
  </si>
  <si>
    <t xml:space="preserve">Bomba d”água 1 CV monofásica </t>
  </si>
  <si>
    <t xml:space="preserve">Freezer horizontal médio </t>
  </si>
  <si>
    <t xml:space="preserve">Cafeteira elétrica pequena uso doméstico </t>
  </si>
  <si>
    <t xml:space="preserve">Freezer Horizontal Grande </t>
  </si>
  <si>
    <t xml:space="preserve">Cafeteira elétrica uso comercial </t>
  </si>
  <si>
    <t xml:space="preserve">Geladeira Comum </t>
  </si>
  <si>
    <t xml:space="preserve">Chuveiro elétrico 127V </t>
  </si>
  <si>
    <t xml:space="preserve">Geladeira Duplex </t>
  </si>
  <si>
    <t xml:space="preserve">Chuveiro elétrico 220V </t>
  </si>
  <si>
    <t xml:space="preserve">Grill </t>
  </si>
  <si>
    <t xml:space="preserve">Chuveiro 4 estações </t>
  </si>
  <si>
    <t xml:space="preserve">Impressora comum </t>
  </si>
  <si>
    <t xml:space="preserve">Liquidificador doméstico </t>
  </si>
  <si>
    <t xml:space="preserve">Impressora laser </t>
  </si>
  <si>
    <t>Queda de tensão</t>
  </si>
  <si>
    <t>Capac. de corrente</t>
  </si>
  <si>
    <t>fator de potencia de tomadas "= 0,8"</t>
  </si>
  <si>
    <t>Tipo de CKT</t>
  </si>
  <si>
    <t>Ferro de Passar</t>
  </si>
  <si>
    <t>Secador de Cabelo</t>
  </si>
  <si>
    <t>Tipo de Tensão</t>
  </si>
  <si>
    <t>Residencial Zoom</t>
  </si>
  <si>
    <t>Comercial Zoom</t>
  </si>
  <si>
    <t>Tela Inicial Zoom</t>
  </si>
  <si>
    <t>Local Relatório</t>
  </si>
  <si>
    <t>C:\Downloads</t>
  </si>
  <si>
    <t>OK</t>
  </si>
  <si>
    <t>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</si>
</sst>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A5A5A5"/>
      </patternFill>
    </fill>
    <fill>
      <patternFill patternType="solid">
        <fgColor rgb="FFFFCC99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51" applyNumberFormat="0" applyAlignment="0" applyProtection="0"/>
    <xf numFmtId="0" fontId="5" fillId="13" borderId="46" applyNumberFormat="0" applyAlignment="0" applyProtection="0"/>
  </cellStyleXfs>
  <cellXfs count="10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1" fillId="4" borderId="8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vertical="center"/>
      <protection locked="0"/>
    </xf>
    <xf numFmtId="0" fontId="0" fillId="6" borderId="32" xfId="0" applyFill="1" applyBorder="1" applyAlignment="1" applyProtection="1">
      <alignment vertical="center"/>
      <protection locked="0"/>
    </xf>
    <xf numFmtId="0" fontId="0" fillId="6" borderId="33" xfId="0" applyFill="1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3" borderId="40" xfId="0" applyFill="1" applyBorder="1" applyAlignment="1" applyProtection="1">
      <alignment horizontal="center" vertical="center" wrapText="1"/>
      <protection locked="0"/>
    </xf>
    <xf numFmtId="0" fontId="0" fillId="3" borderId="41" xfId="0" quotePrefix="1" applyFill="1" applyBorder="1" applyAlignment="1" applyProtection="1">
      <alignment horizontal="center" wrapText="1"/>
      <protection locked="0"/>
    </xf>
    <xf numFmtId="0" fontId="0" fillId="3" borderId="42" xfId="0" quotePrefix="1" applyFill="1" applyBorder="1" applyAlignment="1" applyProtection="1">
      <alignment horizontal="center" wrapText="1"/>
      <protection locked="0"/>
    </xf>
    <xf numFmtId="0" fontId="1" fillId="4" borderId="4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7" borderId="2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0" fillId="2" borderId="36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3" fillId="10" borderId="47" xfId="1" applyBorder="1" applyAlignment="1">
      <alignment horizontal="center" vertical="center" wrapText="1"/>
    </xf>
    <xf numFmtId="0" fontId="3" fillId="10" borderId="47" xfId="1" applyBorder="1" applyAlignment="1">
      <alignment horizontal="center" vertical="center"/>
    </xf>
    <xf numFmtId="0" fontId="0" fillId="10" borderId="47" xfId="1" applyFont="1" applyBorder="1" applyAlignment="1">
      <alignment horizontal="center" vertical="center" wrapText="1"/>
    </xf>
    <xf numFmtId="0" fontId="0" fillId="0" borderId="0" xfId="0" applyFill="1"/>
    <xf numFmtId="9" fontId="0" fillId="0" borderId="0" xfId="0" applyNumberFormat="1"/>
    <xf numFmtId="0" fontId="3" fillId="0" borderId="47" xfId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3" fillId="11" borderId="46" xfId="2" applyNumberFormat="1" applyBorder="1" applyAlignment="1">
      <alignment horizontal="center" vertical="center"/>
    </xf>
    <xf numFmtId="164" fontId="3" fillId="0" borderId="46" xfId="2" applyNumberFormat="1" applyFill="1" applyBorder="1" applyAlignment="1">
      <alignment horizontal="center" vertical="center"/>
    </xf>
    <xf numFmtId="164" fontId="0" fillId="11" borderId="46" xfId="2" applyNumberFormat="1" applyFont="1" applyBorder="1" applyAlignment="1">
      <alignment horizontal="center" vertical="center"/>
    </xf>
    <xf numFmtId="1" fontId="3" fillId="11" borderId="46" xfId="2" applyNumberFormat="1" applyBorder="1" applyAlignment="1">
      <alignment horizontal="center" vertical="center"/>
    </xf>
    <xf numFmtId="1" fontId="3" fillId="0" borderId="50" xfId="2" applyNumberFormat="1" applyFill="1" applyBorder="1" applyAlignment="1">
      <alignment horizontal="center" vertical="center"/>
    </xf>
    <xf numFmtId="164" fontId="0" fillId="0" borderId="46" xfId="2" applyNumberFormat="1" applyFont="1" applyFill="1" applyBorder="1" applyAlignment="1">
      <alignment horizontal="center" vertical="center"/>
    </xf>
    <xf numFmtId="0" fontId="0" fillId="0" borderId="0" xfId="0"/>
    <xf numFmtId="0" fontId="3" fillId="11" borderId="46" xfId="2" applyBorder="1" applyAlignment="1">
      <alignment horizontal="center"/>
    </xf>
    <xf numFmtId="1" fontId="0" fillId="0" borderId="0" xfId="0" applyNumberFormat="1"/>
    <xf numFmtId="164" fontId="0" fillId="0" borderId="0" xfId="0" applyNumberFormat="1"/>
    <xf numFmtId="0" fontId="4" fillId="12" borderId="51" xfId="3"/>
    <xf numFmtId="1" fontId="0" fillId="0" borderId="0" xfId="0" applyNumberFormat="1" applyAlignment="1">
      <alignment horizontal="center"/>
    </xf>
    <xf numFmtId="1" fontId="3" fillId="0" borderId="46" xfId="2" applyNumberFormat="1" applyFill="1" applyBorder="1" applyAlignment="1">
      <alignment horizontal="center" vertical="center"/>
    </xf>
    <xf numFmtId="0" fontId="6" fillId="13" borderId="46" xfId="4" applyFont="1" applyAlignment="1">
      <alignment horizontal="center"/>
    </xf>
    <xf numFmtId="0" fontId="0" fillId="0" borderId="0" xfId="0" applyAlignment="1">
      <alignment horizontal="center"/>
    </xf>
    <xf numFmtId="0" fontId="4" fillId="12" borderId="51" xfId="3" applyAlignment="1">
      <alignment horizontal="center"/>
    </xf>
    <xf numFmtId="0" fontId="3" fillId="10" borderId="47" xfId="1" applyBorder="1" applyAlignment="1">
      <alignment horizontal="center" vertical="center"/>
    </xf>
    <xf numFmtId="0" fontId="0" fillId="0" borderId="49" xfId="1" applyFont="1" applyFill="1" applyBorder="1" applyAlignment="1">
      <alignment horizontal="center" vertical="center"/>
    </xf>
    <xf numFmtId="0" fontId="3" fillId="0" borderId="49" xfId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6" borderId="29" xfId="0" applyFill="1" applyBorder="1" applyAlignment="1" applyProtection="1">
      <alignment horizontal="left" vertical="center"/>
      <protection locked="0"/>
    </xf>
    <xf numFmtId="0" fontId="0" fillId="6" borderId="28" xfId="0" applyFill="1" applyBorder="1" applyAlignment="1" applyProtection="1">
      <alignment horizontal="left" vertical="center"/>
      <protection locked="0"/>
    </xf>
    <xf numFmtId="0" fontId="0" fillId="6" borderId="30" xfId="0" applyFill="1" applyBorder="1" applyAlignment="1" applyProtection="1">
      <alignment horizontal="left" vertical="center"/>
      <protection locked="0"/>
    </xf>
    <xf numFmtId="0" fontId="0" fillId="6" borderId="29" xfId="0" applyFill="1" applyBorder="1" applyAlignment="1" applyProtection="1">
      <alignment horizontal="left" vertical="center" wrapText="1"/>
      <protection locked="0"/>
    </xf>
    <xf numFmtId="0" fontId="0" fillId="6" borderId="28" xfId="0" applyFill="1" applyBorder="1" applyAlignment="1" applyProtection="1">
      <alignment horizontal="left" vertical="center" wrapText="1"/>
      <protection locked="0"/>
    </xf>
    <xf numFmtId="0" fontId="0" fillId="6" borderId="30" xfId="0" applyFill="1" applyBorder="1" applyAlignment="1" applyProtection="1">
      <alignment horizontal="left" vertical="center" wrapText="1"/>
      <protection locked="0"/>
    </xf>
    <xf numFmtId="0" fontId="0" fillId="6" borderId="6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 wrapText="1"/>
      <protection locked="0"/>
    </xf>
    <xf numFmtId="0" fontId="0" fillId="6" borderId="7" xfId="0" applyFill="1" applyBorder="1" applyAlignment="1" applyProtection="1">
      <alignment horizontal="left" vertical="center" wrapText="1"/>
      <protection locked="0"/>
    </xf>
    <xf numFmtId="0" fontId="0" fillId="6" borderId="31" xfId="0" applyFill="1" applyBorder="1" applyAlignment="1" applyProtection="1">
      <alignment horizontal="left" vertical="center" wrapText="1"/>
      <protection locked="0"/>
    </xf>
    <xf numFmtId="0" fontId="0" fillId="6" borderId="32" xfId="0" applyFill="1" applyBorder="1" applyAlignment="1" applyProtection="1">
      <alignment horizontal="left" vertical="center" wrapText="1"/>
      <protection locked="0"/>
    </xf>
    <xf numFmtId="0" fontId="0" fillId="6" borderId="33" xfId="0" applyFill="1" applyBorder="1" applyAlignment="1" applyProtection="1">
      <alignment horizontal="left" vertical="center" wrapText="1"/>
      <protection locked="0"/>
    </xf>
    <xf numFmtId="0" fontId="2" fillId="9" borderId="36" xfId="0" applyFont="1" applyFill="1" applyBorder="1" applyAlignment="1">
      <alignment horizontal="center" vertical="center" wrapText="1"/>
    </xf>
    <xf numFmtId="0" fontId="2" fillId="9" borderId="34" xfId="0" applyFont="1" applyFill="1" applyBorder="1" applyAlignment="1">
      <alignment horizontal="center" vertical="center" wrapText="1"/>
    </xf>
    <xf numFmtId="0" fontId="2" fillId="9" borderId="35" xfId="0" applyFont="1" applyFill="1" applyBorder="1" applyAlignment="1">
      <alignment horizontal="center" vertical="center" wrapText="1"/>
    </xf>
  </cellXfs>
  <cellStyles count="5">
    <cellStyle name="20% - Ênfase3" xfId="2" builtinId="38"/>
    <cellStyle name="60% - Ênfase6" xfId="1" builtinId="52"/>
    <cellStyle name="Célula de Verificação" xfId="3" builtinId="23"/>
    <cellStyle name="Entrada" xfId="4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Pot&#234;ncia De Aparelhos'!A1"/><Relationship Id="rId2" Type="http://schemas.openxmlformats.org/officeDocument/2006/relationships/hyperlink" Target="#Dados!A1"/><Relationship Id="rId1" Type="http://schemas.openxmlformats.org/officeDocument/2006/relationships/hyperlink" Target="#Comer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354723</xdr:colOff>
      <xdr:row>7</xdr:row>
      <xdr:rowOff>59121</xdr:rowOff>
    </xdr:from>
    <xdr:to>
      <xdr:col>20</xdr:col>
      <xdr:colOff>65689</xdr:colOff>
      <xdr:row>18</xdr:row>
      <xdr:rowOff>56029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54723" y="1392621"/>
          <a:ext cx="11640207" cy="209240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187324</xdr:colOff>
      <xdr:row>9</xdr:row>
      <xdr:rowOff>38100</xdr:rowOff>
    </xdr:from>
    <xdr:to>
      <xdr:col>5</xdr:col>
      <xdr:colOff>88899</xdr:colOff>
      <xdr:row>12</xdr:row>
      <xdr:rowOff>19050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4" y="1752600"/>
          <a:ext cx="2066925" cy="552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Comércial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0</xdr:col>
      <xdr:colOff>352424</xdr:colOff>
      <xdr:row>0</xdr:row>
      <xdr:rowOff>114300</xdr:rowOff>
    </xdr:from>
    <xdr:to>
      <xdr:col>20</xdr:col>
      <xdr:colOff>56445</xdr:colOff>
      <xdr:row>5</xdr:row>
      <xdr:rowOff>104775</xdr:rowOff>
    </xdr:to>
    <xdr:sp macro="" textlink="">
      <xdr:nvSpPr>
        <xdr:cNvPr id="9" name="Retângulo com Canto Diagonal Aparad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52424" y="114300"/>
          <a:ext cx="11557354" cy="94297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Dimensionamento De Cabos e Disjuntores</a:t>
          </a:r>
        </a:p>
      </xdr:txBody>
    </xdr:sp>
    <xdr:clientData/>
  </xdr:twoCellAnchor>
  <xdr:oneCellAnchor>
    <xdr:from>
      <xdr:col>1</xdr:col>
      <xdr:colOff>95250</xdr:colOff>
      <xdr:row>7</xdr:row>
      <xdr:rowOff>85725</xdr:rowOff>
    </xdr:from>
    <xdr:ext cx="1684885" cy="31149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04850" y="1419225"/>
          <a:ext cx="168488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Cálculos de Circuitos</a:t>
          </a:r>
        </a:p>
      </xdr:txBody>
    </xdr:sp>
    <xdr:clientData/>
  </xdr:oneCellAnchor>
  <xdr:twoCellAnchor>
    <xdr:from>
      <xdr:col>1</xdr:col>
      <xdr:colOff>196849</xdr:colOff>
      <xdr:row>12</xdr:row>
      <xdr:rowOff>180975</xdr:rowOff>
    </xdr:from>
    <xdr:to>
      <xdr:col>5</xdr:col>
      <xdr:colOff>98424</xdr:colOff>
      <xdr:row>14</xdr:row>
      <xdr:rowOff>152400</xdr:rowOff>
    </xdr:to>
    <xdr:sp macro="[0]!realtorioComerc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552449" y="2466975"/>
          <a:ext cx="20669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179294</xdr:colOff>
      <xdr:row>7</xdr:row>
      <xdr:rowOff>57469</xdr:rowOff>
    </xdr:from>
    <xdr:to>
      <xdr:col>20</xdr:col>
      <xdr:colOff>65690</xdr:colOff>
      <xdr:row>18</xdr:row>
      <xdr:rowOff>56029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254070" y="1390969"/>
          <a:ext cx="4740861" cy="209406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523874</xdr:colOff>
      <xdr:row>9</xdr:row>
      <xdr:rowOff>9525</xdr:rowOff>
    </xdr:from>
    <xdr:to>
      <xdr:col>16</xdr:col>
      <xdr:colOff>152399</xdr:colOff>
      <xdr:row>12</xdr:row>
      <xdr:rowOff>171451</xdr:rowOff>
    </xdr:to>
    <xdr:sp macro="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25291" y="1724025"/>
          <a:ext cx="2083858" cy="7334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Memória de Cálculo</a:t>
          </a:r>
        </a:p>
      </xdr:txBody>
    </xdr:sp>
    <xdr:clientData/>
  </xdr:twoCellAnchor>
  <xdr:twoCellAnchor>
    <xdr:from>
      <xdr:col>12</xdr:col>
      <xdr:colOff>523874</xdr:colOff>
      <xdr:row>13</xdr:row>
      <xdr:rowOff>47625</xdr:rowOff>
    </xdr:from>
    <xdr:to>
      <xdr:col>16</xdr:col>
      <xdr:colOff>152399</xdr:colOff>
      <xdr:row>17</xdr:row>
      <xdr:rowOff>38100</xdr:rowOff>
    </xdr:to>
    <xdr:sp macro="" textlink="">
      <xdr:nvSpPr>
        <xdr:cNvPr id="5" name="Retângulo de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839074" y="2524125"/>
          <a:ext cx="2066925" cy="7524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Potência De Aparelhos</a:t>
          </a:r>
        </a:p>
      </xdr:txBody>
    </xdr:sp>
    <xdr:clientData/>
  </xdr:twoCellAnchor>
  <xdr:oneCellAnchor>
    <xdr:from>
      <xdr:col>12</xdr:col>
      <xdr:colOff>438150</xdr:colOff>
      <xdr:row>7</xdr:row>
      <xdr:rowOff>76200</xdr:rowOff>
    </xdr:from>
    <xdr:ext cx="1310039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753350" y="1409700"/>
          <a:ext cx="131003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Dados Técnicos</a:t>
          </a:r>
        </a:p>
      </xdr:txBody>
    </xdr:sp>
    <xdr:clientData/>
  </xdr:oneCellAnchor>
  <xdr:oneCellAnchor>
    <xdr:from>
      <xdr:col>16</xdr:col>
      <xdr:colOff>219075</xdr:colOff>
      <xdr:row>7</xdr:row>
      <xdr:rowOff>85725</xdr:rowOff>
    </xdr:from>
    <xdr:ext cx="715709" cy="311496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9972675" y="1419225"/>
          <a:ext cx="71570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Ajustes</a:t>
          </a:r>
        </a:p>
      </xdr:txBody>
    </xdr:sp>
    <xdr:clientData/>
  </xdr:oneCellAnchor>
  <xdr:twoCellAnchor>
    <xdr:from>
      <xdr:col>16</xdr:col>
      <xdr:colOff>304799</xdr:colOff>
      <xdr:row>9</xdr:row>
      <xdr:rowOff>19050</xdr:rowOff>
    </xdr:from>
    <xdr:to>
      <xdr:col>19</xdr:col>
      <xdr:colOff>542924</xdr:colOff>
      <xdr:row>11</xdr:row>
      <xdr:rowOff>9525</xdr:rowOff>
    </xdr:to>
    <xdr:sp macro="[0]!AbreTela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0058399" y="1733550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User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16</xdr:col>
      <xdr:colOff>314324</xdr:colOff>
      <xdr:row>11</xdr:row>
      <xdr:rowOff>47625</xdr:rowOff>
    </xdr:from>
    <xdr:to>
      <xdr:col>19</xdr:col>
      <xdr:colOff>552449</xdr:colOff>
      <xdr:row>13</xdr:row>
      <xdr:rowOff>38100</xdr:rowOff>
    </xdr:to>
    <xdr:sp macro="[0]!lsDesligarTelaCheia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067924" y="2143125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Admin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17</xdr:col>
      <xdr:colOff>304800</xdr:colOff>
      <xdr:row>15</xdr:row>
      <xdr:rowOff>66675</xdr:rowOff>
    </xdr:from>
    <xdr:to>
      <xdr:col>19</xdr:col>
      <xdr:colOff>571499</xdr:colOff>
      <xdr:row>17</xdr:row>
      <xdr:rowOff>57150</xdr:rowOff>
    </xdr:to>
    <xdr:sp macro="[0]!AjustaTipoCKT" textlink="">
      <xdr:nvSpPr>
        <xdr:cNvPr id="20" name="Retângulo de cantos arredondados 17">
          <a:extLst>
            <a:ext uri="{FF2B5EF4-FFF2-40B4-BE49-F238E27FC236}">
              <a16:creationId xmlns:a16="http://schemas.microsoft.com/office/drawing/2014/main" id="{FD586565-DA34-4E66-B09A-37EF0207A4B7}"/>
            </a:ext>
          </a:extLst>
        </xdr:cNvPr>
        <xdr:cNvSpPr/>
      </xdr:nvSpPr>
      <xdr:spPr>
        <a:xfrm>
          <a:off x="10140950" y="2924175"/>
          <a:ext cx="1485899" cy="37147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pt-BR" sz="22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Ajuste CKT</a:t>
          </a:r>
          <a:endParaRPr lang="pt-BR" sz="22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10</xdr:col>
      <xdr:colOff>398318</xdr:colOff>
      <xdr:row>16</xdr:row>
      <xdr:rowOff>112570</xdr:rowOff>
    </xdr:from>
    <xdr:to>
      <xdr:col>12</xdr:col>
      <xdr:colOff>138545</xdr:colOff>
      <xdr:row>18</xdr:row>
      <xdr:rowOff>2</xdr:rowOff>
    </xdr:to>
    <xdr:sp macro="[0]!sairtudo" textlink="">
      <xdr:nvSpPr>
        <xdr:cNvPr id="21" name="Retângulo de cantos arredondados 14">
          <a:extLst>
            <a:ext uri="{FF2B5EF4-FFF2-40B4-BE49-F238E27FC236}">
              <a16:creationId xmlns:a16="http://schemas.microsoft.com/office/drawing/2014/main" id="{655F0A33-6886-4767-90F1-CC16BEB6D5D2}"/>
            </a:ext>
          </a:extLst>
        </xdr:cNvPr>
        <xdr:cNvSpPr/>
      </xdr:nvSpPr>
      <xdr:spPr>
        <a:xfrm>
          <a:off x="6208568" y="3160570"/>
          <a:ext cx="952500" cy="268432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42332</xdr:rowOff>
    </xdr:from>
    <xdr:to>
      <xdr:col>19</xdr:col>
      <xdr:colOff>10584</xdr:colOff>
      <xdr:row>0</xdr:row>
      <xdr:rowOff>385232</xdr:rowOff>
    </xdr:to>
    <xdr:sp macro="[0]!chamacomercio" textlink="">
      <xdr:nvSpPr>
        <xdr:cNvPr id="8" name="Retângulo com Canto Diagonal Aparado 8">
          <a:extLst>
            <a:ext uri="{FF2B5EF4-FFF2-40B4-BE49-F238E27FC236}">
              <a16:creationId xmlns:a16="http://schemas.microsoft.com/office/drawing/2014/main" id="{DC6B7095-EEA1-431C-A5B1-BF1775022934}"/>
            </a:ext>
          </a:extLst>
        </xdr:cNvPr>
        <xdr:cNvSpPr/>
      </xdr:nvSpPr>
      <xdr:spPr>
        <a:xfrm>
          <a:off x="1" y="42332"/>
          <a:ext cx="15303500" cy="3429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COMERCIAL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461597</xdr:colOff>
      <xdr:row>12</xdr:row>
      <xdr:rowOff>186105</xdr:rowOff>
    </xdr:from>
    <xdr:to>
      <xdr:col>9</xdr:col>
      <xdr:colOff>12941</xdr:colOff>
      <xdr:row>14</xdr:row>
      <xdr:rowOff>7328</xdr:rowOff>
    </xdr:to>
    <xdr:sp macro="" textlink="">
      <xdr:nvSpPr>
        <xdr:cNvPr id="2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86A49D-4330-4F04-9DA6-F2C4C31C94C6}"/>
            </a:ext>
          </a:extLst>
        </xdr:cNvPr>
        <xdr:cNvSpPr/>
      </xdr:nvSpPr>
      <xdr:spPr>
        <a:xfrm>
          <a:off x="7370885" y="3065586"/>
          <a:ext cx="972768" cy="2095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</xdr:colOff>
      <xdr:row>1</xdr:row>
      <xdr:rowOff>28575</xdr:rowOff>
    </xdr:from>
    <xdr:to>
      <xdr:col>5</xdr:col>
      <xdr:colOff>723899</xdr:colOff>
      <xdr:row>1</xdr:row>
      <xdr:rowOff>371475</xdr:rowOff>
    </xdr:to>
    <xdr:sp macro="" textlink="">
      <xdr:nvSpPr>
        <xdr:cNvPr id="3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A49C0D-20C9-4DB5-B098-8C3DCE7C713E}"/>
            </a:ext>
          </a:extLst>
        </xdr:cNvPr>
        <xdr:cNvSpPr/>
      </xdr:nvSpPr>
      <xdr:spPr>
        <a:xfrm>
          <a:off x="10382249" y="38100"/>
          <a:ext cx="69532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T26"/>
  <sheetViews>
    <sheetView tabSelected="1" zoomScale="150" zoomScaleNormal="150" workbookViewId="0">
      <selection activeCell="N25" sqref="N25"/>
    </sheetView>
  </sheetViews>
  <sheetFormatPr defaultRowHeight="15" x14ac:dyDescent="0.25"/>
  <cols>
    <col min="1" max="1" width="5.28515625" customWidth="1"/>
    <col min="4" max="4" width="3.85546875" customWidth="1"/>
    <col min="5" max="5" width="10.28515625" customWidth="1"/>
    <col min="20" max="20" width="8.7109375" customWidth="1"/>
  </cols>
  <sheetData>
    <row r="1" spans="1:15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</row>
    <row r="2" spans="1:15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</row>
    <row r="3" spans="1:15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</row>
    <row r="4" spans="1:1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</row>
    <row r="5" spans="1:15" x14ac:dyDescent="0.2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</row>
    <row r="6" spans="1:15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</row>
    <row r="7" spans="1:15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</row>
    <row r="8" spans="1:15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</row>
    <row r="9" spans="1:15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</row>
    <row r="10" spans="1:15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</row>
    <row r="11" spans="1:15" x14ac:dyDescent="0.25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1:15" x14ac:dyDescent="0.2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</row>
    <row r="13" spans="1:15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</row>
    <row r="14" spans="1:15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</row>
    <row r="15" spans="1:15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</row>
    <row r="16" spans="1:15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</row>
    <row r="17" spans="1:20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</row>
    <row r="18" spans="1:20" x14ac:dyDescent="0.2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</row>
    <row r="19" spans="1:20" x14ac:dyDescent="0.2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</row>
    <row r="20" spans="1:20" ht="15.75" thickBot="1" x14ac:dyDescent="0.3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</row>
    <row r="21" spans="1:20" ht="16.5" thickTop="1" thickBot="1" x14ac:dyDescent="0.3">
      <c r="A21" s="55"/>
      <c r="B21" s="82" t="s">
        <v>97</v>
      </c>
      <c r="C21" s="82"/>
      <c r="D21" s="55"/>
      <c r="E21" s="83" t="s">
        <v>98</v>
      </c>
      <c r="F21" s="83"/>
      <c r="G21" s="83"/>
      <c r="H21" s="83"/>
      <c r="I21" s="83"/>
      <c r="J21" s="83"/>
      <c r="K21" s="83"/>
      <c r="L21" s="83"/>
      <c r="M21" s="55"/>
      <c r="N21" s="55"/>
      <c r="O21" s="55"/>
      <c r="R21" s="82" t="s">
        <v>94</v>
      </c>
      <c r="S21" s="82"/>
      <c r="T21" s="78">
        <v>135</v>
      </c>
    </row>
    <row r="22" spans="1:20" ht="8.25" customHeight="1" thickTop="1" thickBot="1" x14ac:dyDescent="0.3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</row>
    <row r="23" spans="1:20" ht="16.5" thickTop="1" thickBot="1" x14ac:dyDescent="0.3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R23" s="82" t="s">
        <v>95</v>
      </c>
      <c r="S23" s="82"/>
      <c r="T23" s="78">
        <v>115</v>
      </c>
    </row>
    <row r="24" spans="1:20" s="74" customFormat="1" ht="8.25" customHeight="1" thickTop="1" thickBot="1" x14ac:dyDescent="0.3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</row>
    <row r="25" spans="1:20" ht="16.5" thickTop="1" thickBot="1" x14ac:dyDescent="0.3">
      <c r="R25" s="82" t="s">
        <v>96</v>
      </c>
      <c r="S25" s="82"/>
      <c r="T25" s="78">
        <v>150</v>
      </c>
    </row>
    <row r="26" spans="1:20" ht="15.75" thickTop="1" x14ac:dyDescent="0.25"/>
  </sheetData>
  <mergeCells count="5">
    <mergeCell ref="R21:S21"/>
    <mergeCell ref="R23:S23"/>
    <mergeCell ref="R25:S25"/>
    <mergeCell ref="B21:C21"/>
    <mergeCell ref="E21:L2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WC1048542"/>
  <sheetViews>
    <sheetView zoomScale="115" zoomScaleNormal="115" zoomScaleSheetLayoutView="90" workbookViewId="0">
      <selection sqref="A1:S1"/>
    </sheetView>
  </sheetViews>
  <sheetFormatPr defaultRowHeight="15" x14ac:dyDescent="0.25"/>
  <cols>
    <col min="1" max="1" width="4" customWidth="1"/>
    <col min="2" max="2" width="14.140625" customWidth="1"/>
    <col min="3" max="3" width="18.42578125" customWidth="1"/>
    <col min="4" max="4" width="10.42578125" customWidth="1"/>
    <col min="5" max="5" width="8" customWidth="1"/>
    <col min="6" max="6" width="11.140625" style="59" customWidth="1"/>
    <col min="7" max="7" width="8.7109375" style="59" customWidth="1"/>
    <col min="8" max="8" width="8.85546875" style="67" customWidth="1"/>
    <col min="9" max="9" width="16" style="76" customWidth="1"/>
    <col min="10" max="10" width="16.28515625" style="77" customWidth="1"/>
    <col min="11" max="11" width="17.140625" style="67" customWidth="1"/>
    <col min="12" max="12" width="15.42578125" style="65" customWidth="1"/>
    <col min="13" max="13" width="11.5703125" style="60" customWidth="1"/>
    <col min="14" max="14" width="10.7109375" style="59" customWidth="1"/>
    <col min="15" max="15" width="9.140625" style="76"/>
    <col min="16" max="16" width="11.7109375" customWidth="1"/>
    <col min="17" max="17" width="13.42578125" style="59" bestFit="1" customWidth="1"/>
    <col min="18" max="18" width="13.140625" style="79" customWidth="1"/>
    <col min="19" max="19" width="12" style="79" customWidth="1"/>
    <col min="20" max="20" width="17.42578125" style="59" customWidth="1"/>
    <col min="21" max="21" width="9.140625" style="59"/>
    <col min="22" max="16384" width="9.140625" style="64"/>
  </cols>
  <sheetData>
    <row r="1" spans="1:601" ht="33.75" customHeight="1" x14ac:dyDescent="0.25">
      <c r="A1" s="85" t="s">
        <v>28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59"/>
      <c r="BW1" s="59"/>
      <c r="BX1" s="59"/>
      <c r="BY1" s="59"/>
      <c r="BZ1" s="59"/>
      <c r="CA1" s="59"/>
      <c r="CB1" s="59"/>
      <c r="CC1" s="59"/>
      <c r="CD1" s="59"/>
      <c r="CE1" s="59"/>
      <c r="CF1" s="59"/>
      <c r="CG1" s="59"/>
      <c r="CH1" s="59"/>
      <c r="CI1" s="59"/>
      <c r="CJ1" s="59"/>
      <c r="CK1" s="59"/>
      <c r="CL1" s="59"/>
      <c r="CM1" s="59"/>
      <c r="CN1" s="59"/>
      <c r="CO1" s="59"/>
      <c r="CP1" s="59"/>
      <c r="CQ1" s="59"/>
      <c r="CR1" s="59"/>
      <c r="CS1" s="59"/>
      <c r="CT1" s="59"/>
      <c r="CU1" s="59"/>
      <c r="CV1" s="59"/>
      <c r="CW1" s="59"/>
      <c r="CX1" s="59"/>
      <c r="CY1" s="59"/>
      <c r="CZ1" s="59"/>
      <c r="DA1" s="59"/>
      <c r="DB1" s="59"/>
      <c r="DC1" s="59"/>
      <c r="DD1" s="59"/>
      <c r="DE1" s="59"/>
      <c r="DF1" s="59"/>
      <c r="DG1" s="59"/>
      <c r="DH1" s="59"/>
      <c r="DI1" s="59"/>
      <c r="DJ1" s="59"/>
      <c r="DK1" s="59"/>
      <c r="DL1" s="59"/>
      <c r="DM1" s="59"/>
      <c r="DN1" s="59"/>
      <c r="DO1" s="59"/>
      <c r="DP1" s="59"/>
      <c r="DQ1" s="59"/>
      <c r="DR1" s="59"/>
      <c r="DS1" s="59"/>
      <c r="DT1" s="59"/>
      <c r="DU1" s="59"/>
      <c r="DV1" s="59"/>
      <c r="DW1" s="59"/>
      <c r="DX1" s="59"/>
      <c r="DY1" s="59"/>
      <c r="DZ1" s="59"/>
      <c r="EA1" s="59"/>
      <c r="EB1" s="59"/>
      <c r="EC1" s="59"/>
      <c r="ED1" s="59"/>
      <c r="EE1" s="59"/>
      <c r="EF1" s="59"/>
      <c r="EG1" s="59"/>
      <c r="EH1" s="59"/>
      <c r="EI1" s="59"/>
      <c r="EJ1" s="59"/>
      <c r="EK1" s="59"/>
      <c r="EL1" s="59"/>
      <c r="EM1" s="59"/>
      <c r="EN1" s="59"/>
      <c r="EO1" s="59"/>
      <c r="EP1" s="59"/>
      <c r="EQ1" s="59"/>
      <c r="ER1" s="59"/>
      <c r="ES1" s="59"/>
      <c r="ET1" s="59"/>
      <c r="EU1" s="59"/>
      <c r="EV1" s="59"/>
      <c r="EW1" s="59"/>
      <c r="EX1" s="59"/>
      <c r="EY1" s="59"/>
      <c r="EZ1" s="59"/>
      <c r="FA1" s="59"/>
      <c r="FB1" s="59"/>
      <c r="FC1" s="59"/>
      <c r="FD1" s="59"/>
      <c r="FE1" s="59"/>
      <c r="FF1" s="59"/>
      <c r="FG1" s="59"/>
      <c r="FH1" s="59"/>
      <c r="FI1" s="59"/>
      <c r="FJ1" s="59"/>
      <c r="FK1" s="59"/>
      <c r="FL1" s="59"/>
      <c r="FM1" s="59"/>
      <c r="FN1" s="59"/>
      <c r="FO1" s="59"/>
      <c r="FP1" s="59"/>
      <c r="FQ1" s="59"/>
      <c r="FR1" s="59"/>
      <c r="FS1" s="59"/>
      <c r="FT1" s="59"/>
      <c r="FU1" s="59"/>
      <c r="FV1" s="59"/>
      <c r="FW1" s="59"/>
      <c r="FX1" s="59"/>
      <c r="FY1" s="59"/>
      <c r="FZ1" s="59"/>
      <c r="GA1" s="59"/>
      <c r="GB1" s="59"/>
      <c r="GC1" s="59"/>
      <c r="GD1" s="59"/>
      <c r="GE1" s="59"/>
      <c r="GF1" s="59"/>
      <c r="GG1" s="59"/>
      <c r="GH1" s="59"/>
      <c r="GI1" s="59"/>
      <c r="GJ1" s="59"/>
      <c r="GK1" s="59"/>
      <c r="GL1" s="59"/>
      <c r="GM1" s="59"/>
      <c r="GN1" s="59"/>
      <c r="GO1" s="59"/>
      <c r="GP1" s="59"/>
      <c r="GQ1" s="59"/>
      <c r="GR1" s="59"/>
      <c r="GS1" s="59"/>
      <c r="GT1" s="59"/>
      <c r="GU1" s="59"/>
      <c r="GV1" s="59"/>
      <c r="GW1" s="59"/>
      <c r="GX1" s="59"/>
      <c r="GY1" s="59"/>
      <c r="GZ1" s="59"/>
      <c r="HA1" s="59"/>
      <c r="HB1" s="59"/>
      <c r="HC1" s="59"/>
      <c r="HD1" s="59"/>
      <c r="HE1" s="59"/>
      <c r="HF1" s="59"/>
      <c r="HG1" s="59"/>
      <c r="HH1" s="59"/>
      <c r="HI1" s="59"/>
      <c r="HJ1" s="59"/>
      <c r="HK1" s="59"/>
      <c r="HL1" s="59"/>
      <c r="HM1" s="59"/>
      <c r="HN1" s="59"/>
      <c r="HO1" s="59"/>
      <c r="HP1" s="59"/>
      <c r="HQ1" s="59"/>
      <c r="HR1" s="59"/>
      <c r="HS1" s="59"/>
      <c r="HT1" s="59"/>
      <c r="HU1" s="59"/>
      <c r="HV1" s="59"/>
      <c r="HW1" s="59"/>
      <c r="HX1" s="59"/>
      <c r="HY1" s="59"/>
      <c r="HZ1" s="59"/>
      <c r="IA1" s="59"/>
      <c r="IB1" s="59"/>
      <c r="IC1" s="59"/>
      <c r="ID1" s="59"/>
      <c r="IE1" s="59"/>
      <c r="IF1" s="59"/>
      <c r="IG1" s="59"/>
      <c r="IH1" s="59"/>
      <c r="II1" s="59"/>
      <c r="IJ1" s="59"/>
      <c r="IK1" s="59"/>
      <c r="IL1" s="59"/>
      <c r="IM1" s="59"/>
      <c r="IN1" s="59"/>
      <c r="IO1" s="59"/>
      <c r="IP1" s="59"/>
      <c r="IQ1" s="59"/>
      <c r="IR1" s="59"/>
      <c r="IS1" s="59"/>
      <c r="IT1" s="59"/>
      <c r="IU1" s="59"/>
      <c r="IV1" s="59"/>
      <c r="IW1" s="59"/>
      <c r="IX1" s="59"/>
      <c r="IY1" s="59"/>
      <c r="IZ1" s="59"/>
      <c r="JA1" s="59"/>
      <c r="JB1" s="59"/>
      <c r="JC1" s="59"/>
      <c r="JD1" s="59"/>
      <c r="JE1" s="59"/>
      <c r="JF1" s="59"/>
      <c r="JG1" s="59"/>
      <c r="JH1" s="59"/>
      <c r="JI1" s="59"/>
      <c r="JJ1" s="59"/>
      <c r="JK1" s="59"/>
      <c r="JL1" s="59"/>
      <c r="JM1" s="59"/>
      <c r="JN1" s="59"/>
      <c r="JO1" s="59"/>
      <c r="JP1" s="59"/>
      <c r="JQ1" s="59"/>
      <c r="JR1" s="59"/>
      <c r="JS1" s="59"/>
      <c r="JT1" s="59"/>
      <c r="JU1" s="59"/>
      <c r="JV1" s="59"/>
      <c r="JW1" s="59"/>
      <c r="JX1" s="59"/>
      <c r="JY1" s="59"/>
      <c r="JZ1" s="59"/>
      <c r="KA1" s="59"/>
      <c r="KB1" s="59"/>
      <c r="KC1" s="59"/>
      <c r="KD1" s="59"/>
      <c r="KE1" s="59"/>
      <c r="KF1" s="59"/>
      <c r="KG1" s="59"/>
      <c r="KH1" s="59"/>
      <c r="KI1" s="59"/>
      <c r="KJ1" s="59"/>
      <c r="KK1" s="59"/>
      <c r="KL1" s="59"/>
      <c r="KM1" s="59"/>
      <c r="KN1" s="59"/>
      <c r="KO1" s="59"/>
      <c r="KP1" s="59"/>
      <c r="KQ1" s="59"/>
      <c r="KR1" s="59"/>
      <c r="KS1" s="59"/>
      <c r="KT1" s="59"/>
      <c r="KU1" s="59"/>
      <c r="KV1" s="59"/>
      <c r="KW1" s="59"/>
      <c r="KX1" s="59"/>
      <c r="KY1" s="59"/>
      <c r="KZ1" s="59"/>
      <c r="LA1" s="59"/>
      <c r="LB1" s="59"/>
      <c r="LC1" s="59"/>
      <c r="LD1" s="59"/>
      <c r="LE1" s="59"/>
      <c r="LF1" s="59"/>
      <c r="LG1" s="59"/>
      <c r="LH1" s="59"/>
      <c r="LI1" s="59"/>
      <c r="LJ1" s="59"/>
      <c r="LK1" s="59"/>
      <c r="LL1" s="59"/>
      <c r="LM1" s="59"/>
      <c r="LN1" s="59"/>
      <c r="LO1" s="59"/>
      <c r="LP1" s="59"/>
      <c r="LQ1" s="59"/>
      <c r="LR1" s="59"/>
      <c r="LS1" s="59"/>
      <c r="LT1" s="59"/>
      <c r="LU1" s="59"/>
      <c r="LV1" s="59"/>
      <c r="LW1" s="59"/>
      <c r="LX1" s="59"/>
      <c r="LY1" s="59"/>
      <c r="LZ1" s="59"/>
      <c r="MA1" s="59"/>
      <c r="MB1" s="59"/>
      <c r="MC1" s="59"/>
      <c r="MD1" s="59"/>
      <c r="ME1" s="59"/>
      <c r="MF1" s="59"/>
      <c r="MG1" s="59"/>
      <c r="MH1" s="59"/>
      <c r="MI1" s="59"/>
      <c r="MJ1" s="59"/>
      <c r="MK1" s="59"/>
      <c r="ML1" s="59"/>
      <c r="MM1" s="59"/>
      <c r="MN1" s="59"/>
      <c r="MO1" s="59"/>
      <c r="MP1" s="59"/>
      <c r="MQ1" s="59"/>
      <c r="MR1" s="59"/>
      <c r="MS1" s="59"/>
      <c r="MT1" s="59"/>
      <c r="MU1" s="59"/>
      <c r="MV1" s="59"/>
      <c r="MW1" s="59"/>
      <c r="MX1" s="59"/>
      <c r="MY1" s="59"/>
      <c r="MZ1" s="59"/>
      <c r="NA1" s="59"/>
      <c r="NB1" s="59"/>
      <c r="NC1" s="59"/>
      <c r="ND1" s="59"/>
      <c r="NE1" s="59"/>
      <c r="NF1" s="59"/>
      <c r="NG1" s="59"/>
      <c r="NH1" s="59"/>
      <c r="NI1" s="59"/>
      <c r="NJ1" s="59"/>
      <c r="NK1" s="59"/>
      <c r="NL1" s="59"/>
      <c r="NM1" s="59"/>
      <c r="NN1" s="59"/>
      <c r="NO1" s="59"/>
      <c r="NP1" s="59"/>
      <c r="NQ1" s="59"/>
      <c r="NR1" s="59"/>
      <c r="NS1" s="59"/>
      <c r="NT1" s="59"/>
      <c r="NU1" s="59"/>
      <c r="NV1" s="59"/>
      <c r="NW1" s="59"/>
      <c r="NX1" s="59"/>
      <c r="NY1" s="59"/>
      <c r="NZ1" s="59"/>
      <c r="OA1" s="59"/>
      <c r="OB1" s="59"/>
      <c r="OC1" s="59"/>
      <c r="OD1" s="59"/>
      <c r="OE1" s="59"/>
      <c r="OF1" s="59"/>
      <c r="OG1" s="59"/>
      <c r="OH1" s="59"/>
      <c r="OI1" s="59"/>
      <c r="OJ1" s="59"/>
      <c r="OK1" s="59"/>
      <c r="OL1" s="59"/>
      <c r="OM1" s="59"/>
      <c r="ON1" s="59"/>
      <c r="OO1" s="59"/>
      <c r="OP1" s="59"/>
      <c r="OQ1" s="59"/>
      <c r="OR1" s="59"/>
      <c r="OS1" s="59"/>
      <c r="OT1" s="59"/>
      <c r="OU1" s="59"/>
      <c r="OV1" s="59"/>
      <c r="OW1" s="59"/>
      <c r="OX1" s="59"/>
      <c r="OY1" s="59"/>
      <c r="OZ1" s="59"/>
      <c r="PA1" s="59"/>
      <c r="PB1" s="59"/>
      <c r="PC1" s="59"/>
      <c r="PD1" s="59"/>
      <c r="PE1" s="59"/>
      <c r="PF1" s="59"/>
      <c r="PG1" s="59"/>
      <c r="PH1" s="59"/>
      <c r="PI1" s="59"/>
      <c r="PJ1" s="59"/>
      <c r="PK1" s="59"/>
      <c r="PL1" s="59"/>
      <c r="PM1" s="59"/>
      <c r="PN1" s="59"/>
      <c r="PO1" s="59"/>
      <c r="PP1" s="59"/>
      <c r="PQ1" s="59"/>
      <c r="PR1" s="59"/>
      <c r="PS1" s="59"/>
      <c r="PT1" s="59"/>
      <c r="PU1" s="59"/>
      <c r="PV1" s="59"/>
      <c r="PW1" s="59"/>
      <c r="PX1" s="59"/>
      <c r="PY1" s="59"/>
      <c r="PZ1" s="59"/>
      <c r="QA1" s="59"/>
      <c r="QB1" s="59"/>
      <c r="QC1" s="59"/>
      <c r="QD1" s="59"/>
      <c r="QE1" s="59"/>
      <c r="QF1" s="59"/>
      <c r="QG1" s="59"/>
      <c r="QH1" s="59"/>
      <c r="QI1" s="59"/>
      <c r="QJ1" s="59"/>
      <c r="QK1" s="59"/>
      <c r="QL1" s="59"/>
      <c r="QM1" s="59"/>
      <c r="QN1" s="59"/>
      <c r="QO1" s="59"/>
      <c r="QP1" s="59"/>
      <c r="QQ1" s="59"/>
      <c r="QR1" s="59"/>
      <c r="QS1" s="59"/>
      <c r="QT1" s="59"/>
      <c r="QU1" s="59"/>
      <c r="QV1" s="59"/>
      <c r="QW1" s="59"/>
      <c r="QX1" s="59"/>
      <c r="QY1" s="59"/>
      <c r="QZ1" s="59"/>
      <c r="RA1" s="59"/>
      <c r="RB1" s="59"/>
      <c r="RC1" s="59"/>
      <c r="RD1" s="59"/>
      <c r="RE1" s="59"/>
      <c r="RF1" s="59"/>
      <c r="RG1" s="59"/>
      <c r="RH1" s="59"/>
      <c r="RI1" s="59"/>
      <c r="RJ1" s="59"/>
      <c r="RK1" s="59"/>
      <c r="RL1" s="59"/>
      <c r="RM1" s="59"/>
      <c r="RN1" s="59"/>
      <c r="RO1" s="59"/>
      <c r="RP1" s="59"/>
      <c r="RQ1" s="59"/>
      <c r="RR1" s="59"/>
      <c r="RS1" s="59"/>
      <c r="RT1" s="59"/>
      <c r="RU1" s="59"/>
      <c r="RV1" s="59"/>
      <c r="RW1" s="59"/>
      <c r="RX1" s="59"/>
      <c r="RY1" s="59"/>
      <c r="RZ1" s="59"/>
      <c r="SA1" s="59"/>
      <c r="SB1" s="59"/>
      <c r="SC1" s="59"/>
      <c r="SD1" s="59"/>
      <c r="SE1" s="59"/>
      <c r="SF1" s="59"/>
      <c r="SG1" s="59"/>
      <c r="SH1" s="59"/>
      <c r="SI1" s="59"/>
      <c r="SJ1" s="59"/>
      <c r="SK1" s="59"/>
      <c r="SL1" s="59"/>
      <c r="SM1" s="59"/>
      <c r="SN1" s="59"/>
      <c r="SO1" s="59"/>
      <c r="SP1" s="59"/>
      <c r="SQ1" s="59"/>
      <c r="SR1" s="59"/>
      <c r="SS1" s="59"/>
      <c r="ST1" s="59"/>
      <c r="SU1" s="59"/>
      <c r="SV1" s="59"/>
      <c r="SW1" s="59"/>
      <c r="SX1" s="59"/>
      <c r="SY1" s="59"/>
      <c r="SZ1" s="59"/>
      <c r="TA1" s="59"/>
      <c r="TB1" s="59"/>
      <c r="TC1" s="59"/>
      <c r="TD1" s="59"/>
      <c r="TE1" s="59"/>
      <c r="TF1" s="59"/>
      <c r="TG1" s="59"/>
      <c r="TH1" s="59"/>
      <c r="TI1" s="59"/>
      <c r="TJ1" s="59"/>
      <c r="TK1" s="59"/>
      <c r="TL1" s="59"/>
      <c r="TM1" s="59"/>
      <c r="TN1" s="59"/>
      <c r="TO1" s="59"/>
      <c r="TP1" s="59"/>
      <c r="TQ1" s="59"/>
      <c r="TR1" s="59"/>
      <c r="TS1" s="59"/>
      <c r="TT1" s="59"/>
      <c r="TU1" s="59"/>
      <c r="TV1" s="59"/>
      <c r="TW1" s="59"/>
      <c r="TX1" s="59"/>
      <c r="TY1" s="59"/>
      <c r="TZ1" s="59"/>
      <c r="UA1" s="59"/>
      <c r="UB1" s="59"/>
      <c r="UC1" s="59"/>
      <c r="UD1" s="59"/>
      <c r="UE1" s="59"/>
      <c r="UF1" s="59"/>
      <c r="UG1" s="59"/>
      <c r="UH1" s="59"/>
      <c r="UI1" s="59"/>
      <c r="UJ1" s="59"/>
      <c r="UK1" s="59"/>
      <c r="UL1" s="59"/>
      <c r="UM1" s="59"/>
      <c r="UN1" s="59"/>
      <c r="UO1" s="59"/>
      <c r="UP1" s="59"/>
      <c r="UQ1" s="59"/>
      <c r="UR1" s="59"/>
      <c r="US1" s="59"/>
      <c r="UT1" s="59"/>
      <c r="UU1" s="59"/>
      <c r="UV1" s="59"/>
      <c r="UW1" s="59"/>
      <c r="UX1" s="59"/>
      <c r="UY1" s="59"/>
      <c r="UZ1" s="59"/>
      <c r="VA1" s="59"/>
      <c r="VB1" s="59"/>
      <c r="VC1" s="59"/>
      <c r="VD1" s="59"/>
      <c r="VE1" s="59"/>
      <c r="VF1" s="59"/>
      <c r="VG1" s="59"/>
      <c r="VH1" s="59"/>
      <c r="VI1" s="59"/>
      <c r="VJ1" s="59"/>
      <c r="VK1" s="59"/>
      <c r="VL1" s="59"/>
      <c r="VM1" s="59"/>
      <c r="VN1" s="59"/>
      <c r="VO1" s="59"/>
      <c r="VP1" s="59"/>
      <c r="VQ1" s="59"/>
      <c r="VR1" s="59"/>
      <c r="VS1" s="59"/>
      <c r="VT1" s="59"/>
      <c r="VU1" s="59"/>
      <c r="VV1" s="59"/>
      <c r="VW1" s="59"/>
      <c r="VX1" s="59"/>
      <c r="VY1" s="59"/>
      <c r="VZ1" s="59"/>
      <c r="WA1" s="59"/>
      <c r="WB1" s="59"/>
      <c r="WC1" s="59"/>
    </row>
    <row r="2" spans="1:601" s="66" customFormat="1" ht="20.100000000000001" customHeight="1" x14ac:dyDescent="0.25">
      <c r="A2" s="84"/>
      <c r="B2" s="84"/>
      <c r="C2" s="84"/>
      <c r="D2" s="84" t="s">
        <v>2</v>
      </c>
      <c r="E2" s="84"/>
      <c r="F2" s="84"/>
      <c r="G2" s="84"/>
      <c r="H2" s="84"/>
      <c r="I2" s="84" t="s">
        <v>21</v>
      </c>
      <c r="J2" s="84"/>
      <c r="K2" s="84"/>
      <c r="L2" s="84"/>
      <c r="M2" s="84"/>
      <c r="N2" s="84"/>
      <c r="O2" s="84"/>
      <c r="P2" s="84"/>
      <c r="Q2" s="84"/>
      <c r="R2" s="84"/>
      <c r="S2" s="84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59"/>
      <c r="EA2" s="59"/>
      <c r="EB2" s="59"/>
      <c r="EC2" s="59"/>
      <c r="ED2" s="59"/>
      <c r="EE2" s="59"/>
      <c r="EF2" s="59"/>
      <c r="EG2" s="59"/>
      <c r="EH2" s="59"/>
      <c r="EI2" s="59"/>
      <c r="EJ2" s="59"/>
      <c r="EK2" s="59"/>
      <c r="EL2" s="59"/>
      <c r="EM2" s="59"/>
      <c r="EN2" s="59"/>
      <c r="EO2" s="59"/>
      <c r="EP2" s="59"/>
      <c r="EQ2" s="59"/>
      <c r="ER2" s="59"/>
      <c r="ES2" s="59"/>
      <c r="ET2" s="59"/>
      <c r="EU2" s="59"/>
      <c r="EV2" s="59"/>
      <c r="EW2" s="59"/>
      <c r="EX2" s="59"/>
      <c r="EY2" s="59"/>
      <c r="EZ2" s="59"/>
      <c r="FA2" s="59"/>
      <c r="FB2" s="59"/>
      <c r="FC2" s="59"/>
      <c r="FD2" s="59"/>
      <c r="FE2" s="59"/>
      <c r="FF2" s="59"/>
      <c r="FG2" s="59"/>
      <c r="FH2" s="59"/>
      <c r="FI2" s="59"/>
      <c r="FJ2" s="59"/>
      <c r="FK2" s="59"/>
      <c r="FL2" s="59"/>
      <c r="FM2" s="59"/>
      <c r="FN2" s="59"/>
      <c r="FO2" s="59"/>
      <c r="FP2" s="59"/>
      <c r="FQ2" s="59"/>
      <c r="FR2" s="59"/>
      <c r="FS2" s="59"/>
      <c r="FT2" s="59"/>
      <c r="FU2" s="59"/>
      <c r="FV2" s="59"/>
      <c r="FW2" s="59"/>
      <c r="FX2" s="59"/>
      <c r="FY2" s="59"/>
      <c r="FZ2" s="59"/>
      <c r="GA2" s="59"/>
      <c r="GB2" s="59"/>
      <c r="GC2" s="59"/>
      <c r="GD2" s="59"/>
      <c r="GE2" s="59"/>
      <c r="GF2" s="59"/>
      <c r="GG2" s="59"/>
      <c r="GH2" s="59"/>
      <c r="GI2" s="59"/>
      <c r="GJ2" s="59"/>
      <c r="GK2" s="59"/>
      <c r="GL2" s="59"/>
      <c r="GM2" s="59"/>
      <c r="GN2" s="59"/>
      <c r="GO2" s="59"/>
      <c r="GP2" s="59"/>
      <c r="GQ2" s="59"/>
      <c r="GR2" s="59"/>
      <c r="GS2" s="59"/>
      <c r="GT2" s="59"/>
      <c r="GU2" s="59"/>
      <c r="GV2" s="59"/>
      <c r="GW2" s="59"/>
      <c r="GX2" s="59"/>
      <c r="GY2" s="59"/>
      <c r="GZ2" s="59"/>
      <c r="HA2" s="59"/>
      <c r="HB2" s="59"/>
      <c r="HC2" s="59"/>
      <c r="HD2" s="59"/>
      <c r="HE2" s="59"/>
      <c r="HF2" s="59"/>
      <c r="HG2" s="59"/>
      <c r="HH2" s="59"/>
      <c r="HI2" s="59"/>
      <c r="HJ2" s="59"/>
      <c r="HK2" s="59"/>
      <c r="HL2" s="59"/>
      <c r="HM2" s="59"/>
      <c r="HN2" s="59"/>
      <c r="HO2" s="59"/>
      <c r="HP2" s="59"/>
      <c r="HQ2" s="59"/>
      <c r="HR2" s="59"/>
      <c r="HS2" s="59"/>
      <c r="HT2" s="59"/>
      <c r="HU2" s="59"/>
      <c r="HV2" s="59"/>
      <c r="HW2" s="59"/>
      <c r="HX2" s="59"/>
      <c r="HY2" s="59"/>
      <c r="HZ2" s="59"/>
      <c r="IA2" s="59"/>
      <c r="IB2" s="59"/>
      <c r="IC2" s="59"/>
      <c r="ID2" s="59"/>
      <c r="IE2" s="59"/>
      <c r="IF2" s="59"/>
      <c r="IG2" s="59"/>
      <c r="IH2" s="59"/>
      <c r="II2" s="59"/>
      <c r="IJ2" s="59"/>
      <c r="IK2" s="59"/>
      <c r="IL2" s="59"/>
      <c r="IM2" s="59"/>
      <c r="IN2" s="59"/>
      <c r="IO2" s="59"/>
      <c r="IP2" s="59"/>
      <c r="IQ2" s="59"/>
      <c r="IR2" s="59"/>
      <c r="IS2" s="59"/>
      <c r="IT2" s="59"/>
      <c r="IU2" s="59"/>
      <c r="IV2" s="59"/>
      <c r="IW2" s="59"/>
      <c r="IX2" s="59"/>
      <c r="IY2" s="59"/>
      <c r="IZ2" s="59"/>
      <c r="JA2" s="59"/>
      <c r="JB2" s="59"/>
      <c r="JC2" s="59"/>
      <c r="JD2" s="59"/>
      <c r="JE2" s="59"/>
      <c r="JF2" s="59"/>
      <c r="JG2" s="59"/>
      <c r="JH2" s="59"/>
      <c r="JI2" s="59"/>
      <c r="JJ2" s="59"/>
      <c r="JK2" s="59"/>
      <c r="JL2" s="59"/>
      <c r="JM2" s="59"/>
      <c r="JN2" s="59"/>
      <c r="JO2" s="59"/>
      <c r="JP2" s="59"/>
      <c r="JQ2" s="59"/>
      <c r="JR2" s="59"/>
      <c r="JS2" s="59"/>
      <c r="JT2" s="59"/>
      <c r="JU2" s="59"/>
      <c r="JV2" s="59"/>
      <c r="JW2" s="59"/>
      <c r="JX2" s="59"/>
      <c r="JY2" s="59"/>
      <c r="JZ2" s="59"/>
      <c r="KA2" s="59"/>
      <c r="KB2" s="59"/>
      <c r="KC2" s="59"/>
      <c r="KD2" s="59"/>
      <c r="KE2" s="59"/>
      <c r="KF2" s="59"/>
      <c r="KG2" s="59"/>
      <c r="KH2" s="59"/>
      <c r="KI2" s="59"/>
      <c r="KJ2" s="59"/>
      <c r="KK2" s="59"/>
      <c r="KL2" s="59"/>
      <c r="KM2" s="59"/>
      <c r="KN2" s="59"/>
      <c r="KO2" s="59"/>
      <c r="KP2" s="59"/>
      <c r="KQ2" s="59"/>
      <c r="KR2" s="59"/>
      <c r="KS2" s="59"/>
      <c r="KT2" s="59"/>
      <c r="KU2" s="59"/>
      <c r="KV2" s="59"/>
      <c r="KW2" s="59"/>
      <c r="KX2" s="59"/>
      <c r="KY2" s="59"/>
      <c r="KZ2" s="59"/>
      <c r="LA2" s="59"/>
      <c r="LB2" s="59"/>
      <c r="LC2" s="59"/>
      <c r="LD2" s="59"/>
      <c r="LE2" s="59"/>
      <c r="LF2" s="59"/>
      <c r="LG2" s="59"/>
      <c r="LH2" s="59"/>
      <c r="LI2" s="59"/>
      <c r="LJ2" s="59"/>
      <c r="LK2" s="59"/>
      <c r="LL2" s="59"/>
      <c r="LM2" s="59"/>
      <c r="LN2" s="59"/>
      <c r="LO2" s="59"/>
      <c r="LP2" s="59"/>
      <c r="LQ2" s="59"/>
      <c r="LR2" s="59"/>
      <c r="LS2" s="59"/>
      <c r="LT2" s="59"/>
      <c r="LU2" s="59"/>
      <c r="LV2" s="59"/>
      <c r="LW2" s="59"/>
      <c r="LX2" s="59"/>
      <c r="LY2" s="59"/>
      <c r="LZ2" s="59"/>
      <c r="MA2" s="59"/>
      <c r="MB2" s="59"/>
      <c r="MC2" s="59"/>
      <c r="MD2" s="59"/>
      <c r="ME2" s="59"/>
      <c r="MF2" s="59"/>
      <c r="MG2" s="59"/>
      <c r="MH2" s="59"/>
      <c r="MI2" s="59"/>
      <c r="MJ2" s="59"/>
      <c r="MK2" s="59"/>
      <c r="ML2" s="59"/>
      <c r="MM2" s="59"/>
      <c r="MN2" s="59"/>
      <c r="MO2" s="59"/>
      <c r="MP2" s="59"/>
      <c r="MQ2" s="59"/>
      <c r="MR2" s="59"/>
      <c r="MS2" s="59"/>
      <c r="MT2" s="59"/>
      <c r="MU2" s="59"/>
      <c r="MV2" s="59"/>
      <c r="MW2" s="59"/>
      <c r="MX2" s="59"/>
      <c r="MY2" s="59"/>
      <c r="MZ2" s="59"/>
      <c r="NA2" s="59"/>
      <c r="NB2" s="59"/>
      <c r="NC2" s="59"/>
      <c r="ND2" s="59"/>
      <c r="NE2" s="59"/>
      <c r="NF2" s="59"/>
      <c r="NG2" s="59"/>
      <c r="NH2" s="59"/>
      <c r="NI2" s="59"/>
      <c r="NJ2" s="59"/>
      <c r="NK2" s="59"/>
      <c r="NL2" s="59"/>
      <c r="NM2" s="59"/>
      <c r="NN2" s="59"/>
      <c r="NO2" s="59"/>
      <c r="NP2" s="59"/>
      <c r="NQ2" s="59"/>
      <c r="NR2" s="59"/>
      <c r="NS2" s="59"/>
      <c r="NT2" s="59"/>
      <c r="NU2" s="59"/>
      <c r="NV2" s="59"/>
      <c r="NW2" s="59"/>
      <c r="NX2" s="59"/>
      <c r="NY2" s="59"/>
      <c r="NZ2" s="59"/>
      <c r="OA2" s="59"/>
      <c r="OB2" s="59"/>
      <c r="OC2" s="59"/>
      <c r="OD2" s="59"/>
      <c r="OE2" s="59"/>
      <c r="OF2" s="59"/>
      <c r="OG2" s="59"/>
      <c r="OH2" s="59"/>
      <c r="OI2" s="59"/>
      <c r="OJ2" s="59"/>
      <c r="OK2" s="59"/>
      <c r="OL2" s="59"/>
      <c r="OM2" s="59"/>
      <c r="ON2" s="59"/>
      <c r="OO2" s="59"/>
      <c r="OP2" s="59"/>
      <c r="OQ2" s="59"/>
      <c r="OR2" s="59"/>
      <c r="OS2" s="59"/>
      <c r="OT2" s="59"/>
      <c r="OU2" s="59"/>
      <c r="OV2" s="59"/>
      <c r="OW2" s="59"/>
      <c r="OX2" s="59"/>
      <c r="OY2" s="59"/>
      <c r="OZ2" s="59"/>
      <c r="PA2" s="59"/>
      <c r="PB2" s="59"/>
      <c r="PC2" s="59"/>
      <c r="PD2" s="59"/>
      <c r="PE2" s="59"/>
      <c r="PF2" s="59"/>
      <c r="PG2" s="59"/>
      <c r="PH2" s="59"/>
      <c r="PI2" s="59"/>
      <c r="PJ2" s="59"/>
      <c r="PK2" s="59"/>
      <c r="PL2" s="59"/>
      <c r="PM2" s="59"/>
      <c r="PN2" s="59"/>
      <c r="PO2" s="59"/>
      <c r="PP2" s="59"/>
      <c r="PQ2" s="59"/>
      <c r="PR2" s="59"/>
      <c r="PS2" s="59"/>
      <c r="PT2" s="59"/>
      <c r="PU2" s="59"/>
      <c r="PV2" s="59"/>
      <c r="PW2" s="59"/>
      <c r="PX2" s="59"/>
      <c r="PY2" s="59"/>
      <c r="PZ2" s="59"/>
      <c r="QA2" s="59"/>
      <c r="QB2" s="59"/>
      <c r="QC2" s="59"/>
      <c r="QD2" s="59"/>
      <c r="QE2" s="59"/>
      <c r="QF2" s="59"/>
      <c r="QG2" s="59"/>
      <c r="QH2" s="59"/>
      <c r="QI2" s="59"/>
      <c r="QJ2" s="59"/>
      <c r="QK2" s="59"/>
      <c r="QL2" s="59"/>
      <c r="QM2" s="59"/>
      <c r="QN2" s="59"/>
      <c r="QO2" s="59"/>
      <c r="QP2" s="59"/>
      <c r="QQ2" s="59"/>
      <c r="QR2" s="59"/>
      <c r="QS2" s="59"/>
      <c r="QT2" s="59"/>
      <c r="QU2" s="59"/>
      <c r="QV2" s="59"/>
      <c r="QW2" s="59"/>
      <c r="QX2" s="59"/>
      <c r="QY2" s="59"/>
      <c r="QZ2" s="59"/>
      <c r="RA2" s="59"/>
      <c r="RB2" s="59"/>
      <c r="RC2" s="59"/>
      <c r="RD2" s="59"/>
      <c r="RE2" s="59"/>
      <c r="RF2" s="59"/>
      <c r="RG2" s="59"/>
      <c r="RH2" s="59"/>
      <c r="RI2" s="59"/>
      <c r="RJ2" s="59"/>
      <c r="RK2" s="59"/>
      <c r="RL2" s="59"/>
      <c r="RM2" s="59"/>
      <c r="RN2" s="59"/>
      <c r="RO2" s="59"/>
      <c r="RP2" s="59"/>
      <c r="RQ2" s="59"/>
      <c r="RR2" s="59"/>
      <c r="RS2" s="59"/>
      <c r="RT2" s="59"/>
      <c r="RU2" s="59"/>
      <c r="RV2" s="59"/>
      <c r="RW2" s="59"/>
      <c r="RX2" s="59"/>
      <c r="RY2" s="59"/>
      <c r="RZ2" s="59"/>
      <c r="SA2" s="59"/>
      <c r="SB2" s="59"/>
      <c r="SC2" s="59"/>
      <c r="SD2" s="59"/>
      <c r="SE2" s="59"/>
      <c r="SF2" s="59"/>
      <c r="SG2" s="59"/>
      <c r="SH2" s="59"/>
      <c r="SI2" s="59"/>
      <c r="SJ2" s="59"/>
      <c r="SK2" s="59"/>
      <c r="SL2" s="59"/>
      <c r="SM2" s="59"/>
      <c r="SN2" s="59"/>
      <c r="SO2" s="59"/>
      <c r="SP2" s="59"/>
      <c r="SQ2" s="59"/>
      <c r="SR2" s="59"/>
      <c r="SS2" s="59"/>
      <c r="ST2" s="59"/>
      <c r="SU2" s="59"/>
      <c r="SV2" s="59"/>
      <c r="SW2" s="59"/>
      <c r="SX2" s="59"/>
      <c r="SY2" s="59"/>
      <c r="SZ2" s="59"/>
      <c r="TA2" s="59"/>
      <c r="TB2" s="59"/>
      <c r="TC2" s="59"/>
      <c r="TD2" s="59"/>
      <c r="TE2" s="59"/>
      <c r="TF2" s="59"/>
      <c r="TG2" s="59"/>
      <c r="TH2" s="59"/>
      <c r="TI2" s="59"/>
      <c r="TJ2" s="59"/>
      <c r="TK2" s="59"/>
      <c r="TL2" s="59"/>
      <c r="TM2" s="59"/>
      <c r="TN2" s="59"/>
      <c r="TO2" s="59"/>
      <c r="TP2" s="59"/>
      <c r="TQ2" s="59"/>
      <c r="TR2" s="59"/>
      <c r="TS2" s="59"/>
      <c r="TT2" s="59"/>
      <c r="TU2" s="59"/>
      <c r="TV2" s="59"/>
      <c r="TW2" s="59"/>
      <c r="TX2" s="59"/>
      <c r="TY2" s="59"/>
      <c r="TZ2" s="59"/>
      <c r="UA2" s="59"/>
      <c r="UB2" s="59"/>
      <c r="UC2" s="59"/>
      <c r="UD2" s="59"/>
      <c r="UE2" s="59"/>
      <c r="UF2" s="59"/>
      <c r="UG2" s="59"/>
      <c r="UH2" s="59"/>
      <c r="UI2" s="59"/>
      <c r="UJ2" s="59"/>
      <c r="UK2" s="59"/>
      <c r="UL2" s="59"/>
      <c r="UM2" s="59"/>
      <c r="UN2" s="59"/>
      <c r="UO2" s="59"/>
      <c r="UP2" s="59"/>
      <c r="UQ2" s="59"/>
      <c r="UR2" s="59"/>
      <c r="US2" s="59"/>
      <c r="UT2" s="59"/>
      <c r="UU2" s="59"/>
      <c r="UV2" s="59"/>
      <c r="UW2" s="59"/>
      <c r="UX2" s="59"/>
      <c r="UY2" s="59"/>
      <c r="UZ2" s="59"/>
      <c r="VA2" s="59"/>
      <c r="VB2" s="59"/>
      <c r="VC2" s="59"/>
      <c r="VD2" s="59"/>
      <c r="VE2" s="59"/>
      <c r="VF2" s="59"/>
      <c r="VG2" s="59"/>
      <c r="VH2" s="59"/>
      <c r="VI2" s="59"/>
      <c r="VJ2" s="59"/>
      <c r="VK2" s="59"/>
      <c r="VL2" s="59"/>
      <c r="VM2" s="59"/>
      <c r="VN2" s="59"/>
      <c r="VO2" s="59"/>
      <c r="VP2" s="59"/>
      <c r="VQ2" s="59"/>
      <c r="VR2" s="59"/>
      <c r="VS2" s="59"/>
      <c r="VT2" s="59"/>
      <c r="VU2" s="59"/>
      <c r="VV2" s="59"/>
      <c r="VW2" s="59"/>
      <c r="VX2" s="59"/>
      <c r="VY2" s="59"/>
      <c r="VZ2" s="59"/>
      <c r="WA2" s="59"/>
      <c r="WB2" s="59"/>
      <c r="WC2" s="59"/>
    </row>
    <row r="3" spans="1:601" s="66" customFormat="1" ht="48" customHeight="1" x14ac:dyDescent="0.25">
      <c r="A3" s="62"/>
      <c r="B3" s="62" t="s">
        <v>13</v>
      </c>
      <c r="C3" s="62" t="s">
        <v>6</v>
      </c>
      <c r="D3" s="61" t="s">
        <v>1</v>
      </c>
      <c r="E3" s="61" t="s">
        <v>11</v>
      </c>
      <c r="F3" s="61" t="s">
        <v>12</v>
      </c>
      <c r="G3" s="63" t="s">
        <v>3</v>
      </c>
      <c r="H3" s="63" t="s">
        <v>4</v>
      </c>
      <c r="I3" s="63" t="s">
        <v>38</v>
      </c>
      <c r="J3" s="61" t="s">
        <v>5</v>
      </c>
      <c r="K3" s="63" t="s">
        <v>40</v>
      </c>
      <c r="L3" s="63" t="s">
        <v>39</v>
      </c>
      <c r="M3" s="61" t="s">
        <v>87</v>
      </c>
      <c r="N3" s="61" t="s">
        <v>88</v>
      </c>
      <c r="O3" s="63" t="s">
        <v>7</v>
      </c>
      <c r="P3" s="61" t="s">
        <v>8</v>
      </c>
      <c r="Q3" s="61" t="s">
        <v>18</v>
      </c>
      <c r="R3" s="63" t="s">
        <v>19</v>
      </c>
      <c r="S3" s="61" t="s">
        <v>20</v>
      </c>
      <c r="T3" s="59" t="str">
        <f>IFERROR(S3*H3,"")</f>
        <v/>
      </c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59"/>
      <c r="NJ3" s="59"/>
      <c r="NK3" s="59"/>
      <c r="NL3" s="59"/>
      <c r="NM3" s="59"/>
      <c r="NN3" s="59"/>
      <c r="NO3" s="59"/>
      <c r="NP3" s="59"/>
      <c r="NQ3" s="59"/>
      <c r="NR3" s="59"/>
      <c r="NS3" s="59"/>
      <c r="NT3" s="59"/>
      <c r="NU3" s="59"/>
      <c r="NV3" s="59"/>
      <c r="NW3" s="59"/>
      <c r="NX3" s="59"/>
      <c r="NY3" s="59"/>
      <c r="NZ3" s="59"/>
      <c r="OA3" s="59"/>
      <c r="OB3" s="59"/>
      <c r="OC3" s="59"/>
      <c r="OD3" s="59"/>
      <c r="OE3" s="59"/>
      <c r="OF3" s="59"/>
      <c r="OG3" s="59"/>
      <c r="OH3" s="59"/>
      <c r="OI3" s="59"/>
      <c r="OJ3" s="59"/>
      <c r="OK3" s="59"/>
      <c r="OL3" s="59"/>
      <c r="OM3" s="59"/>
      <c r="ON3" s="59"/>
      <c r="OO3" s="59"/>
      <c r="OP3" s="59"/>
      <c r="OQ3" s="59"/>
      <c r="OR3" s="59"/>
      <c r="OS3" s="59"/>
      <c r="OT3" s="59"/>
      <c r="OU3" s="59"/>
      <c r="OV3" s="59"/>
      <c r="OW3" s="59"/>
      <c r="OX3" s="59"/>
      <c r="OY3" s="59"/>
      <c r="OZ3" s="59"/>
      <c r="PA3" s="59"/>
      <c r="PB3" s="59"/>
      <c r="PC3" s="59"/>
      <c r="PD3" s="59"/>
      <c r="PE3" s="59"/>
      <c r="PF3" s="59"/>
      <c r="PG3" s="59"/>
      <c r="PH3" s="59"/>
      <c r="PI3" s="59"/>
      <c r="PJ3" s="59"/>
      <c r="PK3" s="59"/>
      <c r="PL3" s="59"/>
      <c r="PM3" s="59"/>
      <c r="PN3" s="59"/>
      <c r="PO3" s="59"/>
      <c r="PP3" s="59"/>
      <c r="PQ3" s="59"/>
      <c r="PR3" s="59"/>
      <c r="PS3" s="59"/>
      <c r="PT3" s="59"/>
      <c r="PU3" s="59"/>
      <c r="PV3" s="59"/>
      <c r="PW3" s="59"/>
      <c r="PX3" s="59"/>
      <c r="PY3" s="59"/>
      <c r="PZ3" s="59"/>
      <c r="QA3" s="59"/>
      <c r="QB3" s="59"/>
      <c r="QC3" s="59"/>
      <c r="QD3" s="59"/>
      <c r="QE3" s="59"/>
      <c r="QF3" s="59"/>
      <c r="QG3" s="59"/>
      <c r="QH3" s="59"/>
      <c r="QI3" s="59"/>
      <c r="QJ3" s="59"/>
      <c r="QK3" s="59"/>
      <c r="QL3" s="59"/>
      <c r="QM3" s="59"/>
      <c r="QN3" s="59"/>
      <c r="QO3" s="59"/>
      <c r="QP3" s="59"/>
      <c r="QQ3" s="59"/>
      <c r="QR3" s="59"/>
      <c r="QS3" s="59"/>
      <c r="QT3" s="59"/>
      <c r="QU3" s="59"/>
      <c r="QV3" s="59"/>
      <c r="QW3" s="59"/>
      <c r="QX3" s="59"/>
      <c r="QY3" s="59"/>
      <c r="QZ3" s="59"/>
      <c r="RA3" s="59"/>
      <c r="RB3" s="59"/>
      <c r="RC3" s="59"/>
      <c r="RD3" s="59"/>
      <c r="RE3" s="59"/>
      <c r="RF3" s="59"/>
      <c r="RG3" s="59"/>
      <c r="RH3" s="59"/>
      <c r="RI3" s="59"/>
      <c r="RJ3" s="59"/>
      <c r="RK3" s="59"/>
      <c r="RL3" s="59"/>
      <c r="RM3" s="59"/>
      <c r="RN3" s="59"/>
      <c r="RO3" s="59"/>
      <c r="RP3" s="59"/>
      <c r="RQ3" s="59"/>
      <c r="RR3" s="59"/>
      <c r="RS3" s="59"/>
      <c r="RT3" s="59"/>
      <c r="RU3" s="59"/>
      <c r="RV3" s="59"/>
      <c r="RW3" s="59"/>
      <c r="RX3" s="59"/>
      <c r="RY3" s="59"/>
      <c r="RZ3" s="59"/>
      <c r="SA3" s="59"/>
      <c r="SB3" s="59"/>
      <c r="SC3" s="59"/>
      <c r="SD3" s="59"/>
      <c r="SE3" s="59"/>
      <c r="SF3" s="59"/>
      <c r="SG3" s="59"/>
      <c r="SH3" s="59"/>
      <c r="SI3" s="59"/>
      <c r="SJ3" s="59"/>
      <c r="SK3" s="59"/>
      <c r="SL3" s="59"/>
      <c r="SM3" s="59"/>
      <c r="SN3" s="59"/>
      <c r="SO3" s="59"/>
      <c r="SP3" s="59"/>
      <c r="SQ3" s="59"/>
      <c r="SR3" s="59"/>
      <c r="SS3" s="59"/>
      <c r="ST3" s="59"/>
      <c r="SU3" s="59"/>
      <c r="SV3" s="59"/>
      <c r="SW3" s="59"/>
      <c r="SX3" s="59"/>
      <c r="SY3" s="59"/>
      <c r="SZ3" s="59"/>
      <c r="TA3" s="59"/>
      <c r="TB3" s="59"/>
      <c r="TC3" s="59"/>
      <c r="TD3" s="59"/>
      <c r="TE3" s="59"/>
      <c r="TF3" s="59"/>
      <c r="TG3" s="59"/>
      <c r="TH3" s="59"/>
      <c r="TI3" s="59"/>
      <c r="TJ3" s="59"/>
      <c r="TK3" s="59"/>
      <c r="TL3" s="59"/>
      <c r="TM3" s="59"/>
      <c r="TN3" s="59"/>
      <c r="TO3" s="59"/>
      <c r="TP3" s="59"/>
      <c r="TQ3" s="59"/>
      <c r="TR3" s="59"/>
      <c r="TS3" s="59"/>
      <c r="TT3" s="59"/>
      <c r="TU3" s="59"/>
      <c r="TV3" s="59"/>
      <c r="TW3" s="59"/>
      <c r="TX3" s="59"/>
      <c r="TY3" s="59"/>
      <c r="TZ3" s="59"/>
      <c r="UA3" s="59"/>
      <c r="UB3" s="59"/>
      <c r="UC3" s="59"/>
      <c r="UD3" s="59"/>
      <c r="UE3" s="59"/>
      <c r="UF3" s="59"/>
      <c r="UG3" s="59"/>
      <c r="UH3" s="59"/>
      <c r="UI3" s="59"/>
      <c r="UJ3" s="59"/>
      <c r="UK3" s="59"/>
      <c r="UL3" s="59"/>
      <c r="UM3" s="59"/>
      <c r="UN3" s="59"/>
      <c r="UO3" s="59"/>
      <c r="UP3" s="59"/>
      <c r="UQ3" s="59"/>
      <c r="UR3" s="59"/>
      <c r="US3" s="59"/>
      <c r="UT3" s="59"/>
      <c r="UU3" s="59"/>
      <c r="UV3" s="59"/>
      <c r="UW3" s="59"/>
      <c r="UX3" s="59"/>
      <c r="UY3" s="59"/>
      <c r="UZ3" s="59"/>
      <c r="VA3" s="59"/>
      <c r="VB3" s="59"/>
      <c r="VC3" s="59"/>
      <c r="VD3" s="59"/>
      <c r="VE3" s="59"/>
      <c r="VF3" s="59"/>
      <c r="VG3" s="59"/>
      <c r="VH3" s="59"/>
      <c r="VI3" s="59"/>
      <c r="VJ3" s="59"/>
      <c r="VK3" s="59"/>
      <c r="VL3" s="59"/>
      <c r="VM3" s="59"/>
      <c r="VN3" s="59"/>
      <c r="VO3" s="59"/>
      <c r="VP3" s="59"/>
      <c r="VQ3" s="59"/>
      <c r="VR3" s="59"/>
      <c r="VS3" s="59"/>
      <c r="VT3" s="59"/>
      <c r="VU3" s="59"/>
      <c r="VV3" s="59"/>
      <c r="VW3" s="59"/>
      <c r="VX3" s="59"/>
      <c r="VY3" s="59"/>
      <c r="VZ3" s="59"/>
      <c r="WA3" s="59"/>
      <c r="WB3" s="59"/>
      <c r="WC3" s="59"/>
    </row>
    <row r="4" spans="1:601" s="56" customFormat="1" x14ac:dyDescent="0.25">
      <c r="A4" s="72">
        <v>1</v>
      </c>
      <c r="B4" s="70"/>
      <c r="C4" s="75"/>
      <c r="D4" s="71"/>
      <c r="E4" s="71">
        <v>1</v>
      </c>
      <c r="F4" s="71">
        <v>100</v>
      </c>
      <c r="G4" s="80">
        <f>IFERROR((F4*E4),"")</f>
        <v>100</v>
      </c>
      <c r="H4" s="80" t="str">
        <f>IFERROR((G4/D4),"")</f>
        <v/>
      </c>
      <c r="I4" s="71">
        <v>20</v>
      </c>
      <c r="J4" s="68"/>
      <c r="K4" s="73" t="e">
        <f>IFERROR(VLOOKUP(J4,Dados!$A$3:$C$12,3,FALSE)*H4*I4/1000/D4,"") * 100</f>
        <v>#VALUE!</v>
      </c>
      <c r="L4" s="68">
        <v>1</v>
      </c>
      <c r="M4" s="69" t="e">
        <f>IF(K4="","",IF(K4&lt;L4,"OK","NÃO"))</f>
        <v>#VALUE!</v>
      </c>
      <c r="N4" s="69" t="str">
        <f>IFERROR(IF(VLOOKUP(J4,Dados!A:B,2,FALSE)&gt;H4,"OK","NÃO"),"")</f>
        <v/>
      </c>
      <c r="O4" s="71">
        <v>1</v>
      </c>
      <c r="P4" s="71"/>
      <c r="Q4" s="69" t="str">
        <f>IFERROR(IF(VLOOKUP(P4,Dados!$E$3:$E$14,1,FALSE)&gt;H4*1.15,"OK","NÃO"),"")</f>
        <v/>
      </c>
      <c r="R4" s="71">
        <v>1</v>
      </c>
      <c r="S4" s="80">
        <f>IFERROR(R4*G4,"")</f>
        <v>100</v>
      </c>
    </row>
    <row r="6" spans="1:601" x14ac:dyDescent="0.25">
      <c r="C6" s="81" t="s">
        <v>100</v>
      </c>
      <c r="D6" s="71">
        <v>127</v>
      </c>
      <c r="E6" s="71">
        <v>1</v>
      </c>
      <c r="F6" s="80">
        <f>SUM(F4:F4)</f>
        <v>100</v>
      </c>
      <c r="G6" s="80">
        <v>100</v>
      </c>
      <c r="H6" s="69">
        <v>0.45514541896135813</v>
      </c>
      <c r="I6" s="71">
        <v>20</v>
      </c>
      <c r="J6" s="68">
        <v>1.5</v>
      </c>
      <c r="K6" s="73">
        <v>7.289494347774822E-2</v>
      </c>
      <c r="L6" s="68">
        <v>1</v>
      </c>
      <c r="M6" s="69" t="s">
        <v>99</v>
      </c>
      <c r="N6" s="69" t="s">
        <v>99</v>
      </c>
      <c r="O6" s="71">
        <v>1</v>
      </c>
      <c r="P6" s="71">
        <v>10</v>
      </c>
      <c r="Q6" s="69" t="str">
        <f>IFERROR(IF(VLOOKUP(P6,Dados!E:E,1,FALSE)&gt;Comercio!H6*1.15,"OK","NÃO"),"")</f>
        <v>OK</v>
      </c>
    </row>
    <row r="1048542" spans="11:11" x14ac:dyDescent="0.25">
      <c r="K1048542" s="79"/>
    </row>
  </sheetData>
  <mergeCells count="4">
    <mergeCell ref="D2:H2"/>
    <mergeCell ref="I2:S2"/>
    <mergeCell ref="A1:S1"/>
    <mergeCell ref="A2:C2"/>
  </mergeCells>
  <printOptions horizontalCentered="1"/>
  <pageMargins left="0.11811023622047245" right="0.11811023622047245" top="0.78740157480314965" bottom="0.98425196850393704" header="0.31496062992125984" footer="0.31496062992125984"/>
  <pageSetup paperSize="9"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Dados!$M$3:$M$7</xm:f>
          </x14:formula1>
          <xm:sqref>D6 D4</xm:sqref>
        </x14:dataValidation>
        <x14:dataValidation type="list" allowBlank="1" showInputMessage="1" showErrorMessage="1">
          <x14:formula1>
            <xm:f>Dados!$K$3:$K$8</xm:f>
          </x14:formula1>
          <xm:sqref>C6 C4</xm:sqref>
        </x14:dataValidation>
        <x14:dataValidation type="list" allowBlank="1" showInputMessage="1" showErrorMessage="1">
          <x14:formula1>
            <xm:f>Dados!$A$3:$A$12</xm:f>
          </x14:formula1>
          <xm:sqref>J6 J4</xm:sqref>
        </x14:dataValidation>
        <x14:dataValidation type="list" allowBlank="1" showInputMessage="1" showErrorMessage="1">
          <x14:formula1>
            <xm:f>Dados!$E$3:$E$14</xm:f>
          </x14:formula1>
          <xm:sqref>P6 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U23"/>
  <sheetViews>
    <sheetView zoomScale="115" zoomScaleNormal="115" workbookViewId="0">
      <selection activeCell="O6" sqref="O6"/>
    </sheetView>
  </sheetViews>
  <sheetFormatPr defaultColWidth="18.28515625" defaultRowHeight="15" x14ac:dyDescent="0.25"/>
  <cols>
    <col min="1" max="1" width="37.140625" bestFit="1" customWidth="1"/>
    <col min="2" max="2" width="14" bestFit="1" customWidth="1"/>
    <col min="4" max="4" width="6.140625" customWidth="1"/>
    <col min="5" max="5" width="14.42578125" bestFit="1" customWidth="1"/>
    <col min="6" max="6" width="1.42578125" bestFit="1" customWidth="1"/>
    <col min="7" max="7" width="12.28515625" bestFit="1" customWidth="1"/>
    <col min="8" max="8" width="10.42578125" bestFit="1" customWidth="1"/>
    <col min="9" max="9" width="10.85546875" bestFit="1" customWidth="1"/>
    <col min="10" max="10" width="5.5703125" customWidth="1"/>
    <col min="12" max="12" width="3.85546875" customWidth="1"/>
  </cols>
  <sheetData>
    <row r="1" spans="1:13" ht="30.75" thickBot="1" x14ac:dyDescent="0.3">
      <c r="A1" s="87" t="s">
        <v>35</v>
      </c>
      <c r="B1" s="88"/>
      <c r="C1" s="37" t="s">
        <v>37</v>
      </c>
      <c r="E1" s="3" t="s">
        <v>16</v>
      </c>
      <c r="G1" s="89" t="s">
        <v>22</v>
      </c>
      <c r="H1" s="90"/>
      <c r="I1" s="91"/>
    </row>
    <row r="2" spans="1:13" ht="45.75" thickBot="1" x14ac:dyDescent="0.3">
      <c r="A2" s="34" t="s">
        <v>15</v>
      </c>
      <c r="B2" s="35" t="s">
        <v>14</v>
      </c>
      <c r="C2" s="36" t="s">
        <v>36</v>
      </c>
      <c r="D2" s="2"/>
      <c r="E2" s="7" t="s">
        <v>17</v>
      </c>
      <c r="F2" s="2"/>
      <c r="G2" s="8" t="s">
        <v>23</v>
      </c>
      <c r="H2" s="9" t="s">
        <v>24</v>
      </c>
      <c r="I2" s="10" t="s">
        <v>25</v>
      </c>
      <c r="K2" s="57" t="s">
        <v>90</v>
      </c>
      <c r="M2" s="57" t="s">
        <v>93</v>
      </c>
    </row>
    <row r="3" spans="1:13" x14ac:dyDescent="0.25">
      <c r="A3" s="29">
        <v>1</v>
      </c>
      <c r="B3" s="30">
        <v>14</v>
      </c>
      <c r="C3" s="31">
        <v>16.95</v>
      </c>
      <c r="D3" s="11"/>
      <c r="E3" s="15">
        <v>10</v>
      </c>
      <c r="F3" s="2"/>
      <c r="G3" s="12" t="s">
        <v>26</v>
      </c>
      <c r="H3" s="13" t="s">
        <v>27</v>
      </c>
      <c r="I3" s="14" t="s">
        <v>27</v>
      </c>
      <c r="K3" s="58" t="s">
        <v>9</v>
      </c>
      <c r="M3" s="58">
        <v>127</v>
      </c>
    </row>
    <row r="4" spans="1:13" x14ac:dyDescent="0.25">
      <c r="A4" s="29">
        <v>1.5</v>
      </c>
      <c r="B4" s="30">
        <v>17.5</v>
      </c>
      <c r="C4" s="31">
        <v>10.17</v>
      </c>
      <c r="D4" s="11"/>
      <c r="E4" s="15">
        <v>16</v>
      </c>
      <c r="F4" s="2"/>
      <c r="G4" s="16">
        <v>7000</v>
      </c>
      <c r="H4" s="17">
        <f t="shared" ref="H4:H12" si="0">($G4)*(0.293)</f>
        <v>2051</v>
      </c>
      <c r="I4" s="18" t="s">
        <v>28</v>
      </c>
      <c r="K4" s="15" t="s">
        <v>29</v>
      </c>
      <c r="M4" s="15">
        <v>220</v>
      </c>
    </row>
    <row r="5" spans="1:13" x14ac:dyDescent="0.25">
      <c r="A5" s="29">
        <v>2.5</v>
      </c>
      <c r="B5" s="30">
        <v>24</v>
      </c>
      <c r="C5" s="38">
        <v>6.31</v>
      </c>
      <c r="D5" s="11"/>
      <c r="E5" s="15">
        <v>20</v>
      </c>
      <c r="F5" s="2"/>
      <c r="G5" s="19">
        <v>7500</v>
      </c>
      <c r="H5" s="20">
        <f t="shared" si="0"/>
        <v>2197.5</v>
      </c>
      <c r="I5" s="21" t="s">
        <v>28</v>
      </c>
      <c r="K5" s="15" t="s">
        <v>30</v>
      </c>
      <c r="M5" s="15">
        <v>380</v>
      </c>
    </row>
    <row r="6" spans="1:13" x14ac:dyDescent="0.25">
      <c r="A6" s="29">
        <v>4</v>
      </c>
      <c r="B6" s="30">
        <v>32</v>
      </c>
      <c r="C6" s="38">
        <v>4.21</v>
      </c>
      <c r="D6" s="11"/>
      <c r="E6" s="15">
        <v>25</v>
      </c>
      <c r="F6" s="2"/>
      <c r="G6" s="19">
        <v>9000</v>
      </c>
      <c r="H6" s="20">
        <f t="shared" si="0"/>
        <v>2637</v>
      </c>
      <c r="I6" s="21" t="s">
        <v>28</v>
      </c>
      <c r="K6" s="15" t="s">
        <v>10</v>
      </c>
      <c r="M6" s="15">
        <v>440</v>
      </c>
    </row>
    <row r="7" spans="1:13" x14ac:dyDescent="0.25">
      <c r="A7" s="29">
        <v>6</v>
      </c>
      <c r="B7" s="30">
        <v>41</v>
      </c>
      <c r="C7" s="38">
        <v>2.4300000000000002</v>
      </c>
      <c r="D7" s="11"/>
      <c r="E7" s="15">
        <v>32</v>
      </c>
      <c r="F7" s="2"/>
      <c r="G7" s="19">
        <v>10000</v>
      </c>
      <c r="H7" s="20">
        <f t="shared" si="0"/>
        <v>2930</v>
      </c>
      <c r="I7" s="21" t="s">
        <v>28</v>
      </c>
      <c r="K7" s="15" t="s">
        <v>91</v>
      </c>
      <c r="M7" s="15">
        <v>760</v>
      </c>
    </row>
    <row r="8" spans="1:13" x14ac:dyDescent="0.25">
      <c r="A8" s="29">
        <v>10</v>
      </c>
      <c r="B8" s="30">
        <v>57</v>
      </c>
      <c r="C8" s="38">
        <v>1.54</v>
      </c>
      <c r="D8" s="11"/>
      <c r="E8" s="15">
        <v>40</v>
      </c>
      <c r="F8" s="2"/>
      <c r="G8" s="19">
        <v>12000</v>
      </c>
      <c r="H8" s="20">
        <f t="shared" si="0"/>
        <v>3516</v>
      </c>
      <c r="I8" s="21" t="s">
        <v>28</v>
      </c>
      <c r="K8" s="15" t="s">
        <v>92</v>
      </c>
      <c r="M8" s="15"/>
    </row>
    <row r="9" spans="1:13" x14ac:dyDescent="0.25">
      <c r="A9" s="29">
        <v>16</v>
      </c>
      <c r="B9" s="30">
        <v>76</v>
      </c>
      <c r="C9" s="38">
        <v>0.99</v>
      </c>
      <c r="D9" s="11"/>
      <c r="E9" s="15">
        <v>50</v>
      </c>
      <c r="F9" s="2"/>
      <c r="G9" s="19">
        <v>18000</v>
      </c>
      <c r="H9" s="20">
        <f t="shared" si="0"/>
        <v>5274</v>
      </c>
      <c r="I9" s="21" t="s">
        <v>28</v>
      </c>
      <c r="K9" s="15"/>
      <c r="M9" s="15"/>
    </row>
    <row r="10" spans="1:13" x14ac:dyDescent="0.25">
      <c r="A10" s="29">
        <v>25</v>
      </c>
      <c r="B10" s="30">
        <v>101</v>
      </c>
      <c r="C10" s="38">
        <v>0.71</v>
      </c>
      <c r="D10" s="11"/>
      <c r="E10" s="15">
        <v>63</v>
      </c>
      <c r="F10" s="2"/>
      <c r="G10" s="19">
        <v>21000</v>
      </c>
      <c r="H10" s="20">
        <f t="shared" si="0"/>
        <v>6153</v>
      </c>
      <c r="I10" s="21" t="s">
        <v>28</v>
      </c>
      <c r="K10" s="15"/>
      <c r="M10" s="15"/>
    </row>
    <row r="11" spans="1:13" x14ac:dyDescent="0.25">
      <c r="A11" s="29">
        <v>35</v>
      </c>
      <c r="B11" s="30">
        <v>125</v>
      </c>
      <c r="C11" s="38">
        <v>0.49</v>
      </c>
      <c r="D11" s="11"/>
      <c r="E11" s="15">
        <v>70</v>
      </c>
      <c r="F11" s="2"/>
      <c r="G11" s="19">
        <v>22000</v>
      </c>
      <c r="H11" s="20">
        <f t="shared" si="0"/>
        <v>6446</v>
      </c>
      <c r="I11" s="21" t="s">
        <v>28</v>
      </c>
      <c r="K11" s="15"/>
      <c r="M11" s="15"/>
    </row>
    <row r="12" spans="1:13" ht="15.75" thickBot="1" x14ac:dyDescent="0.3">
      <c r="A12" s="32">
        <v>50</v>
      </c>
      <c r="B12" s="33">
        <v>151</v>
      </c>
      <c r="C12" s="39">
        <v>0.35</v>
      </c>
      <c r="D12" s="11"/>
      <c r="E12" s="15">
        <v>80</v>
      </c>
      <c r="F12" s="2"/>
      <c r="G12" s="22">
        <v>30000</v>
      </c>
      <c r="H12" s="23">
        <f t="shared" si="0"/>
        <v>8790</v>
      </c>
      <c r="I12" s="24" t="s">
        <v>28</v>
      </c>
      <c r="K12" s="15"/>
      <c r="M12" s="15"/>
    </row>
    <row r="13" spans="1:13" x14ac:dyDescent="0.25">
      <c r="A13" s="11"/>
      <c r="B13" s="11"/>
      <c r="C13" s="11"/>
      <c r="D13" s="11"/>
      <c r="E13" s="15">
        <v>100</v>
      </c>
      <c r="F13" s="2"/>
      <c r="G13" s="2"/>
      <c r="H13" s="2"/>
      <c r="I13" s="2"/>
      <c r="K13" s="15"/>
      <c r="M13" s="15"/>
    </row>
    <row r="14" spans="1:13" ht="15.75" thickBot="1" x14ac:dyDescent="0.3">
      <c r="A14" s="11"/>
      <c r="B14" s="11"/>
      <c r="C14" s="11"/>
      <c r="D14" s="11"/>
      <c r="E14" s="25">
        <v>125</v>
      </c>
      <c r="F14" s="2"/>
      <c r="G14" s="2"/>
      <c r="H14" s="2"/>
      <c r="I14" s="2"/>
      <c r="K14" s="15"/>
      <c r="M14" s="15"/>
    </row>
    <row r="15" spans="1:13" ht="15.75" thickBot="1" x14ac:dyDescent="0.3">
      <c r="B15" s="11"/>
      <c r="C15" s="11"/>
      <c r="D15" s="11"/>
      <c r="E15" s="2"/>
      <c r="F15" s="2"/>
      <c r="G15" s="2"/>
      <c r="H15" s="2"/>
      <c r="I15" s="2"/>
      <c r="K15" s="25"/>
      <c r="M15" s="25"/>
    </row>
    <row r="16" spans="1:13" ht="15.75" thickBot="1" x14ac:dyDescent="0.3">
      <c r="A16" s="11"/>
      <c r="B16" s="11"/>
      <c r="C16" s="11"/>
      <c r="D16" s="11"/>
      <c r="E16" s="2"/>
      <c r="F16" s="2"/>
      <c r="G16" s="2"/>
      <c r="H16" s="2"/>
      <c r="I16" s="2"/>
    </row>
    <row r="17" spans="8:21" x14ac:dyDescent="0.25">
      <c r="H17" s="2"/>
      <c r="I17" s="2"/>
      <c r="O17" s="92" t="s">
        <v>89</v>
      </c>
      <c r="P17" s="93"/>
      <c r="Q17" s="93"/>
      <c r="R17" s="93"/>
      <c r="S17" s="94"/>
      <c r="T17" s="2"/>
      <c r="U17" s="2"/>
    </row>
    <row r="18" spans="8:21" ht="15.75" thickBot="1" x14ac:dyDescent="0.3">
      <c r="H18" s="2"/>
      <c r="I18" s="2"/>
      <c r="O18" s="26" t="s">
        <v>0</v>
      </c>
      <c r="P18" s="27"/>
      <c r="Q18" s="27"/>
      <c r="R18" s="27"/>
      <c r="S18" s="28"/>
      <c r="T18" s="2"/>
      <c r="U18" s="2"/>
    </row>
    <row r="19" spans="8:21" ht="15.75" thickBot="1" x14ac:dyDescent="0.3">
      <c r="H19" s="2"/>
      <c r="I19" s="2"/>
      <c r="O19" s="2"/>
      <c r="P19" s="2"/>
      <c r="Q19" s="2"/>
      <c r="R19" s="2"/>
      <c r="S19" s="2"/>
      <c r="T19" s="2"/>
      <c r="U19" s="2"/>
    </row>
    <row r="20" spans="8:21" x14ac:dyDescent="0.25">
      <c r="H20" s="2"/>
      <c r="I20" s="2"/>
      <c r="O20" s="95" t="s">
        <v>31</v>
      </c>
      <c r="P20" s="96"/>
      <c r="Q20" s="96"/>
      <c r="R20" s="96"/>
      <c r="S20" s="97"/>
      <c r="T20" s="2" t="s">
        <v>41</v>
      </c>
      <c r="U20" s="2" t="s">
        <v>44</v>
      </c>
    </row>
    <row r="21" spans="8:21" x14ac:dyDescent="0.25">
      <c r="H21" s="2"/>
      <c r="O21" s="98"/>
      <c r="P21" s="99"/>
      <c r="Q21" s="99"/>
      <c r="R21" s="99"/>
      <c r="S21" s="100"/>
      <c r="T21" s="2"/>
      <c r="U21" s="2" t="s">
        <v>42</v>
      </c>
    </row>
    <row r="22" spans="8:21" x14ac:dyDescent="0.25">
      <c r="H22" s="2"/>
      <c r="O22" s="98"/>
      <c r="P22" s="99"/>
      <c r="Q22" s="99"/>
      <c r="R22" s="99"/>
      <c r="S22" s="100"/>
      <c r="T22" s="2"/>
      <c r="U22" s="2" t="s">
        <v>43</v>
      </c>
    </row>
    <row r="23" spans="8:21" ht="15.75" thickBot="1" x14ac:dyDescent="0.3">
      <c r="H23" s="2"/>
      <c r="O23" s="101"/>
      <c r="P23" s="102"/>
      <c r="Q23" s="102"/>
      <c r="R23" s="102"/>
      <c r="S23" s="103"/>
      <c r="T23" s="2"/>
      <c r="U23" s="2"/>
    </row>
  </sheetData>
  <mergeCells count="4">
    <mergeCell ref="A1:B1"/>
    <mergeCell ref="G1:I1"/>
    <mergeCell ref="O17:S17"/>
    <mergeCell ref="O20:S23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26"/>
  <sheetViews>
    <sheetView showGridLines="0" showRowColHeaders="0" zoomScaleNormal="100" workbookViewId="0"/>
  </sheetViews>
  <sheetFormatPr defaultColWidth="0" defaultRowHeight="15" zeroHeight="1" x14ac:dyDescent="0.25"/>
  <cols>
    <col min="1" max="1" width="9.140625" customWidth="1"/>
    <col min="2" max="2" width="46.28515625" style="1" bestFit="1" customWidth="1"/>
    <col min="3" max="3" width="21" style="1" bestFit="1" customWidth="1"/>
    <col min="4" max="4" width="57.85546875" style="1" bestFit="1" customWidth="1"/>
    <col min="5" max="5" width="21" style="1" bestFit="1" customWidth="1"/>
    <col min="6" max="6" width="11" customWidth="1"/>
    <col min="7" max="16384" width="9.140625" hidden="1"/>
  </cols>
  <sheetData>
    <row r="1" spans="2:5" ht="0.95" customHeight="1" thickBot="1" x14ac:dyDescent="0.3">
      <c r="B1" s="4"/>
      <c r="C1" s="5"/>
      <c r="D1" s="5"/>
      <c r="E1" s="6"/>
    </row>
    <row r="2" spans="2:5" ht="30" customHeight="1" x14ac:dyDescent="0.25">
      <c r="B2" s="104" t="s">
        <v>34</v>
      </c>
      <c r="C2" s="105"/>
      <c r="D2" s="105"/>
      <c r="E2" s="106"/>
    </row>
    <row r="3" spans="2:5" ht="30.75" thickBot="1" x14ac:dyDescent="0.3">
      <c r="B3" s="40" t="s">
        <v>32</v>
      </c>
      <c r="C3" s="41" t="s">
        <v>33</v>
      </c>
      <c r="D3" s="41" t="s">
        <v>32</v>
      </c>
      <c r="E3" s="42" t="s">
        <v>33</v>
      </c>
    </row>
    <row r="4" spans="2:5" ht="15" customHeight="1" x14ac:dyDescent="0.25">
      <c r="B4" s="43" t="s">
        <v>45</v>
      </c>
      <c r="C4" s="44">
        <v>1500</v>
      </c>
      <c r="D4" s="44" t="s">
        <v>46</v>
      </c>
      <c r="E4" s="45">
        <v>100</v>
      </c>
    </row>
    <row r="5" spans="2:5" ht="15" customHeight="1" x14ac:dyDescent="0.25">
      <c r="B5" s="46" t="s">
        <v>47</v>
      </c>
      <c r="C5" s="47">
        <v>2500</v>
      </c>
      <c r="D5" s="47" t="s">
        <v>48</v>
      </c>
      <c r="E5" s="48">
        <v>1000</v>
      </c>
    </row>
    <row r="6" spans="2:5" ht="15" customHeight="1" x14ac:dyDescent="0.25">
      <c r="B6" s="49" t="s">
        <v>49</v>
      </c>
      <c r="C6" s="50">
        <v>4000</v>
      </c>
      <c r="D6" s="50" t="s">
        <v>50</v>
      </c>
      <c r="E6" s="51">
        <v>300</v>
      </c>
    </row>
    <row r="7" spans="2:5" ht="15" customHeight="1" x14ac:dyDescent="0.25">
      <c r="B7" s="46" t="s">
        <v>51</v>
      </c>
      <c r="C7" s="47">
        <v>6000</v>
      </c>
      <c r="D7" s="47" t="s">
        <v>52</v>
      </c>
      <c r="E7" s="48">
        <v>200</v>
      </c>
    </row>
    <row r="8" spans="2:5" ht="15" customHeight="1" x14ac:dyDescent="0.25">
      <c r="B8" s="49" t="s">
        <v>53</v>
      </c>
      <c r="C8" s="50">
        <v>1000</v>
      </c>
      <c r="D8" s="50" t="s">
        <v>54</v>
      </c>
      <c r="E8" s="51">
        <v>150</v>
      </c>
    </row>
    <row r="9" spans="2:5" ht="15" customHeight="1" x14ac:dyDescent="0.25">
      <c r="B9" s="46" t="s">
        <v>55</v>
      </c>
      <c r="C9" s="47">
        <v>600</v>
      </c>
      <c r="D9" s="47" t="s">
        <v>56</v>
      </c>
      <c r="E9" s="48">
        <v>1000</v>
      </c>
    </row>
    <row r="10" spans="2:5" ht="15" customHeight="1" x14ac:dyDescent="0.25">
      <c r="B10" s="49" t="s">
        <v>57</v>
      </c>
      <c r="C10" s="50">
        <v>1000</v>
      </c>
      <c r="D10" s="50" t="s">
        <v>58</v>
      </c>
      <c r="E10" s="51">
        <v>500</v>
      </c>
    </row>
    <row r="11" spans="2:5" ht="15" customHeight="1" x14ac:dyDescent="0.25">
      <c r="B11" s="46" t="s">
        <v>59</v>
      </c>
      <c r="C11" s="47">
        <v>500</v>
      </c>
      <c r="D11" s="47" t="s">
        <v>60</v>
      </c>
      <c r="E11" s="48">
        <v>90</v>
      </c>
    </row>
    <row r="12" spans="2:5" ht="15" customHeight="1" x14ac:dyDescent="0.25">
      <c r="B12" s="49" t="s">
        <v>61</v>
      </c>
      <c r="C12" s="50">
        <v>6600</v>
      </c>
      <c r="D12" s="50" t="s">
        <v>62</v>
      </c>
      <c r="E12" s="51">
        <v>1500</v>
      </c>
    </row>
    <row r="13" spans="2:5" ht="15" customHeight="1" x14ac:dyDescent="0.25">
      <c r="B13" s="46" t="s">
        <v>63</v>
      </c>
      <c r="C13" s="47">
        <v>100</v>
      </c>
      <c r="D13" s="47" t="s">
        <v>64</v>
      </c>
      <c r="E13" s="48">
        <v>2100</v>
      </c>
    </row>
    <row r="14" spans="2:5" ht="15" customHeight="1" x14ac:dyDescent="0.25">
      <c r="B14" s="49" t="s">
        <v>65</v>
      </c>
      <c r="C14" s="50">
        <v>390</v>
      </c>
      <c r="D14" s="50" t="s">
        <v>66</v>
      </c>
      <c r="E14" s="51">
        <v>2700</v>
      </c>
    </row>
    <row r="15" spans="2:5" ht="15" customHeight="1" x14ac:dyDescent="0.25">
      <c r="B15" s="46" t="s">
        <v>67</v>
      </c>
      <c r="C15" s="47">
        <v>520</v>
      </c>
      <c r="D15" s="47" t="s">
        <v>68</v>
      </c>
      <c r="E15" s="48">
        <v>750</v>
      </c>
    </row>
    <row r="16" spans="2:5" ht="15" customHeight="1" x14ac:dyDescent="0.25">
      <c r="B16" s="49" t="s">
        <v>69</v>
      </c>
      <c r="C16" s="50">
        <v>570</v>
      </c>
      <c r="D16" s="50" t="s">
        <v>70</v>
      </c>
      <c r="E16" s="51">
        <v>4500</v>
      </c>
    </row>
    <row r="17" spans="2:5" ht="15" customHeight="1" x14ac:dyDescent="0.25">
      <c r="B17" s="46" t="s">
        <v>71</v>
      </c>
      <c r="C17" s="47">
        <v>820</v>
      </c>
      <c r="D17" s="47" t="s">
        <v>72</v>
      </c>
      <c r="E17" s="48">
        <v>300</v>
      </c>
    </row>
    <row r="18" spans="2:5" ht="15" customHeight="1" x14ac:dyDescent="0.25">
      <c r="B18" s="49" t="s">
        <v>73</v>
      </c>
      <c r="C18" s="50">
        <v>1100</v>
      </c>
      <c r="D18" s="50" t="s">
        <v>74</v>
      </c>
      <c r="E18" s="51">
        <v>400</v>
      </c>
    </row>
    <row r="19" spans="2:5" ht="15" customHeight="1" x14ac:dyDescent="0.25">
      <c r="B19" s="46" t="s">
        <v>75</v>
      </c>
      <c r="C19" s="47">
        <v>600</v>
      </c>
      <c r="D19" s="47" t="s">
        <v>76</v>
      </c>
      <c r="E19" s="48">
        <v>500</v>
      </c>
    </row>
    <row r="20" spans="2:5" ht="15" customHeight="1" x14ac:dyDescent="0.25">
      <c r="B20" s="49" t="s">
        <v>77</v>
      </c>
      <c r="C20" s="50">
        <v>1200</v>
      </c>
      <c r="D20" s="50" t="s">
        <v>78</v>
      </c>
      <c r="E20" s="51">
        <v>250</v>
      </c>
    </row>
    <row r="21" spans="2:5" ht="15" customHeight="1" x14ac:dyDescent="0.25">
      <c r="B21" s="46" t="s">
        <v>79</v>
      </c>
      <c r="C21" s="47">
        <v>4400</v>
      </c>
      <c r="D21" s="47" t="s">
        <v>80</v>
      </c>
      <c r="E21" s="48">
        <v>300</v>
      </c>
    </row>
    <row r="22" spans="2:5" ht="15" customHeight="1" x14ac:dyDescent="0.25">
      <c r="B22" s="49" t="s">
        <v>81</v>
      </c>
      <c r="C22" s="50">
        <v>6000</v>
      </c>
      <c r="D22" s="50" t="s">
        <v>82</v>
      </c>
      <c r="E22" s="51">
        <v>1200</v>
      </c>
    </row>
    <row r="23" spans="2:5" ht="15" customHeight="1" x14ac:dyDescent="0.25">
      <c r="B23" s="46" t="s">
        <v>83</v>
      </c>
      <c r="C23" s="47">
        <v>6500</v>
      </c>
      <c r="D23" s="47" t="s">
        <v>84</v>
      </c>
      <c r="E23" s="48">
        <v>90</v>
      </c>
    </row>
    <row r="24" spans="2:5" ht="15" customHeight="1" thickBot="1" x14ac:dyDescent="0.3">
      <c r="B24" s="52" t="s">
        <v>85</v>
      </c>
      <c r="C24" s="53">
        <v>200</v>
      </c>
      <c r="D24" s="53" t="s">
        <v>86</v>
      </c>
      <c r="E24" s="54">
        <v>900</v>
      </c>
    </row>
    <row r="25" spans="2:5" ht="15" customHeight="1" x14ac:dyDescent="0.25"/>
    <row r="26" spans="2:5" hidden="1" x14ac:dyDescent="0.25"/>
  </sheetData>
  <mergeCells count="1">
    <mergeCell ref="B2:E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Início</vt:lpstr>
      <vt:lpstr>Comercio</vt:lpstr>
      <vt:lpstr>Dados</vt:lpstr>
      <vt:lpstr>Potência De Aparelhos</vt:lpstr>
      <vt:lpstr>Comercio!Area_de_impressao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Alexsandro Monteiro de Oliveira</cp:lastModifiedBy>
  <cp:lastPrinted>2020-01-29T19:19:17Z</cp:lastPrinted>
  <dcterms:created xsi:type="dcterms:W3CDTF">2016-11-27T18:19:06Z</dcterms:created>
  <dcterms:modified xsi:type="dcterms:W3CDTF">2020-02-05T12:57:08Z</dcterms:modified>
</cp:coreProperties>
</file>